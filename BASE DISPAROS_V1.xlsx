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elder\Desktop\APP LETICIA\"/>
    </mc:Choice>
  </mc:AlternateContent>
  <xr:revisionPtr revIDLastSave="0" documentId="13_ncr:1_{C5BA2A9B-3A17-4853-A63B-EBBAA3D3A1CB}" xr6:coauthVersionLast="47" xr6:coauthVersionMax="47" xr10:uidLastSave="{00000000-0000-0000-0000-000000000000}"/>
  <bookViews>
    <workbookView xWindow="-120" yWindow="-120" windowWidth="38640" windowHeight="15720" xr2:uid="{4FBBBBAE-4015-47D8-AB4D-07990649D6F9}"/>
  </bookViews>
  <sheets>
    <sheet name="MAIN" sheetId="2" r:id="rId1"/>
    <sheet name="BASE" sheetId="1" r:id="rId2"/>
    <sheet name="AUX" sheetId="3" r:id="rId3"/>
  </sheets>
  <definedNames>
    <definedName name="_xlnm._FilterDatabase" localSheetId="1" hidden="1">BASE!$A$1:$Q$1</definedName>
    <definedName name="_xlnm._FilterDatabase" localSheetId="0" hidden="1">MAIN!$A$1:$K$411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D18" i="2" s="1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D33" i="2" s="1"/>
  <c r="A34" i="2"/>
  <c r="D34" i="2" s="1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D49" i="2" s="1"/>
  <c r="A50" i="2"/>
  <c r="D50" i="2" s="1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K65" i="2" s="1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K81" i="2" s="1"/>
  <c r="A82" i="2"/>
  <c r="D82" i="2" s="1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K97" i="2" s="1"/>
  <c r="A98" i="2"/>
  <c r="D98" i="2" s="1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K113" i="2" s="1"/>
  <c r="A114" i="2"/>
  <c r="D114" i="2" s="1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K129" i="2" s="1"/>
  <c r="A130" i="2"/>
  <c r="K130" i="2" s="1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D145" i="2" s="1"/>
  <c r="A146" i="2"/>
  <c r="K146" i="2" s="1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K177" i="2" s="1"/>
  <c r="A178" i="2"/>
  <c r="K178" i="2" s="1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K193" i="2" s="1"/>
  <c r="A194" i="2"/>
  <c r="D194" i="2" s="1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K209" i="2" s="1"/>
  <c r="A210" i="2"/>
  <c r="D210" i="2" s="1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K225" i="2" s="1"/>
  <c r="A226" i="2"/>
  <c r="D226" i="2" s="1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K241" i="2" s="1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K257" i="2" s="1"/>
  <c r="A258" i="2"/>
  <c r="D258" i="2" s="1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K273" i="2" s="1"/>
  <c r="A274" i="2"/>
  <c r="K274" i="2" s="1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K289" i="2" s="1"/>
  <c r="A290" i="2"/>
  <c r="D290" i="2" s="1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K305" i="2" s="1"/>
  <c r="A306" i="2"/>
  <c r="K306" i="2" s="1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K321" i="2" s="1"/>
  <c r="A322" i="2"/>
  <c r="K322" i="2" s="1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K337" i="2" s="1"/>
  <c r="A338" i="2"/>
  <c r="D338" i="2" s="1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K353" i="2" s="1"/>
  <c r="A354" i="2"/>
  <c r="K354" i="2" s="1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D369" i="2" s="1"/>
  <c r="A370" i="2"/>
  <c r="K370" i="2" s="1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K401" i="2" s="1"/>
  <c r="A402" i="2"/>
  <c r="K402" i="2" s="1"/>
  <c r="A403" i="2"/>
  <c r="A404" i="2"/>
  <c r="A405" i="2"/>
  <c r="A406" i="2"/>
  <c r="A407" i="2"/>
  <c r="A408" i="2"/>
  <c r="A409" i="2"/>
  <c r="A410" i="2"/>
  <c r="A411" i="2"/>
  <c r="A3" i="2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E380" i="2" s="1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E220" i="2" s="1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E204" i="2" s="1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E140" i="2" s="1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E108" i="2" s="1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F51" i="2" s="1"/>
  <c r="C50" i="2"/>
  <c r="E50" i="2" s="1"/>
  <c r="C49" i="2"/>
  <c r="F49" i="2" s="1"/>
  <c r="C48" i="2"/>
  <c r="F48" i="2" s="1"/>
  <c r="C47" i="2"/>
  <c r="F47" i="2" s="1"/>
  <c r="C46" i="2"/>
  <c r="F46" i="2" s="1"/>
  <c r="C45" i="2"/>
  <c r="F45" i="2" s="1"/>
  <c r="C44" i="2"/>
  <c r="E44" i="2" s="1"/>
  <c r="C43" i="2"/>
  <c r="F43" i="2" s="1"/>
  <c r="C42" i="2"/>
  <c r="F42" i="2" s="1"/>
  <c r="C41" i="2"/>
  <c r="F41" i="2" s="1"/>
  <c r="C40" i="2"/>
  <c r="F40" i="2" s="1"/>
  <c r="C39" i="2"/>
  <c r="F39" i="2" s="1"/>
  <c r="C38" i="2"/>
  <c r="E38" i="2" s="1"/>
  <c r="C37" i="2"/>
  <c r="F37" i="2" s="1"/>
  <c r="C36" i="2"/>
  <c r="F36" i="2" s="1"/>
  <c r="C35" i="2"/>
  <c r="F35" i="2" s="1"/>
  <c r="C34" i="2"/>
  <c r="F34" i="2" s="1"/>
  <c r="C33" i="2"/>
  <c r="F33" i="2" s="1"/>
  <c r="C32" i="2"/>
  <c r="F32" i="2" s="1"/>
  <c r="C31" i="2"/>
  <c r="F31" i="2" s="1"/>
  <c r="C30" i="2"/>
  <c r="F30" i="2" s="1"/>
  <c r="C29" i="2"/>
  <c r="F29" i="2" s="1"/>
  <c r="C28" i="2"/>
  <c r="E28" i="2" s="1"/>
  <c r="C27" i="2"/>
  <c r="F27" i="2" s="1"/>
  <c r="C26" i="2"/>
  <c r="F26" i="2" s="1"/>
  <c r="C25" i="2"/>
  <c r="F25" i="2" s="1"/>
  <c r="C24" i="2"/>
  <c r="F24" i="2" s="1"/>
  <c r="C23" i="2"/>
  <c r="F23" i="2" s="1"/>
  <c r="C22" i="2"/>
  <c r="F22" i="2" s="1"/>
  <c r="C21" i="2"/>
  <c r="F21" i="2" s="1"/>
  <c r="C20" i="2"/>
  <c r="F20" i="2" s="1"/>
  <c r="C19" i="2"/>
  <c r="E19" i="2" s="1"/>
  <c r="C18" i="2"/>
  <c r="F18" i="2" s="1"/>
  <c r="C17" i="2"/>
  <c r="C16" i="2"/>
  <c r="F16" i="2" s="1"/>
  <c r="C15" i="2"/>
  <c r="F15" i="2" s="1"/>
  <c r="C14" i="2"/>
  <c r="F14" i="2" s="1"/>
  <c r="C13" i="2"/>
  <c r="F13" i="2" s="1"/>
  <c r="C12" i="2"/>
  <c r="F12" i="2" s="1"/>
  <c r="C11" i="2"/>
  <c r="F11" i="2" s="1"/>
  <c r="C10" i="2"/>
  <c r="F10" i="2" s="1"/>
  <c r="C9" i="2"/>
  <c r="F9" i="2" s="1"/>
  <c r="C8" i="2"/>
  <c r="F8" i="2" s="1"/>
  <c r="C7" i="2"/>
  <c r="F7" i="2" s="1"/>
  <c r="C6" i="2"/>
  <c r="E6" i="2" s="1"/>
  <c r="C5" i="2"/>
  <c r="F5" i="2" s="1"/>
  <c r="C4" i="2"/>
  <c r="F4" i="2" s="1"/>
  <c r="C3" i="2"/>
  <c r="F3" i="2" s="1"/>
  <c r="C2" i="2"/>
  <c r="F2" i="2" s="1"/>
  <c r="E381" i="2"/>
  <c r="E333" i="2"/>
  <c r="E269" i="2"/>
  <c r="E205" i="2"/>
  <c r="E125" i="2"/>
  <c r="E33" i="2"/>
  <c r="E65" i="2"/>
  <c r="E97" i="2"/>
  <c r="E113" i="2"/>
  <c r="E129" i="2"/>
  <c r="E161" i="2"/>
  <c r="E209" i="2"/>
  <c r="E225" i="2"/>
  <c r="E257" i="2"/>
  <c r="E289" i="2"/>
  <c r="E305" i="2"/>
  <c r="E385" i="2"/>
  <c r="E401" i="2"/>
  <c r="D43" i="2"/>
  <c r="B43" i="2"/>
  <c r="J43" i="2" s="1"/>
  <c r="E43" i="2"/>
  <c r="K44" i="2"/>
  <c r="B44" i="2"/>
  <c r="J44" i="2" s="1"/>
  <c r="D44" i="2"/>
  <c r="K45" i="2"/>
  <c r="B45" i="2"/>
  <c r="J45" i="2" s="1"/>
  <c r="D45" i="2"/>
  <c r="E45" i="2"/>
  <c r="D46" i="2"/>
  <c r="B46" i="2"/>
  <c r="J46" i="2" s="1"/>
  <c r="K46" i="2" s="1"/>
  <c r="K47" i="2"/>
  <c r="B47" i="2"/>
  <c r="J47" i="2" s="1"/>
  <c r="E47" i="2"/>
  <c r="D47" i="2"/>
  <c r="B48" i="2"/>
  <c r="J48" i="2" s="1"/>
  <c r="E48" i="2"/>
  <c r="D48" i="2"/>
  <c r="B49" i="2"/>
  <c r="J49" i="2" s="1"/>
  <c r="B50" i="2"/>
  <c r="J50" i="2" s="1"/>
  <c r="K51" i="2"/>
  <c r="B51" i="2"/>
  <c r="J51" i="2" s="1"/>
  <c r="E51" i="2"/>
  <c r="D51" i="2"/>
  <c r="D15" i="2"/>
  <c r="B15" i="2"/>
  <c r="J15" i="2" s="1"/>
  <c r="D16" i="2"/>
  <c r="B16" i="2"/>
  <c r="J16" i="2" s="1"/>
  <c r="E16" i="2"/>
  <c r="B17" i="2"/>
  <c r="J17" i="2" s="1"/>
  <c r="B18" i="2"/>
  <c r="J18" i="2" s="1"/>
  <c r="E18" i="2"/>
  <c r="D19" i="2"/>
  <c r="B19" i="2"/>
  <c r="J19" i="2" s="1"/>
  <c r="B20" i="2"/>
  <c r="J20" i="2" s="1"/>
  <c r="E20" i="2"/>
  <c r="D21" i="2"/>
  <c r="B21" i="2"/>
  <c r="J21" i="2" s="1"/>
  <c r="E21" i="2"/>
  <c r="D22" i="2"/>
  <c r="B22" i="2"/>
  <c r="J22" i="2" s="1"/>
  <c r="K22" i="2" s="1"/>
  <c r="D23" i="2"/>
  <c r="B23" i="2"/>
  <c r="J23" i="2" s="1"/>
  <c r="E23" i="2"/>
  <c r="B24" i="2"/>
  <c r="J24" i="2" s="1"/>
  <c r="E24" i="2"/>
  <c r="D25" i="2"/>
  <c r="B25" i="2"/>
  <c r="J25" i="2" s="1"/>
  <c r="K25" i="2" s="1"/>
  <c r="B26" i="2"/>
  <c r="J26" i="2" s="1"/>
  <c r="K26" i="2" s="1"/>
  <c r="D26" i="2"/>
  <c r="D27" i="2"/>
  <c r="B27" i="2"/>
  <c r="J27" i="2" s="1"/>
  <c r="D28" i="2"/>
  <c r="B28" i="2"/>
  <c r="J28" i="2" s="1"/>
  <c r="K28" i="2" s="1"/>
  <c r="D29" i="2"/>
  <c r="B29" i="2"/>
  <c r="J29" i="2" s="1"/>
  <c r="A2" i="2"/>
  <c r="D4" i="2"/>
  <c r="D6" i="2"/>
  <c r="D7" i="2"/>
  <c r="D10" i="2"/>
  <c r="D12" i="2"/>
  <c r="D13" i="2"/>
  <c r="D14" i="2"/>
  <c r="D30" i="2"/>
  <c r="D31" i="2"/>
  <c r="D32" i="2"/>
  <c r="D40" i="2"/>
  <c r="D41" i="2"/>
  <c r="D56" i="2"/>
  <c r="K57" i="2"/>
  <c r="K64" i="2"/>
  <c r="D66" i="2"/>
  <c r="D72" i="2"/>
  <c r="K73" i="2"/>
  <c r="K88" i="2"/>
  <c r="D89" i="2"/>
  <c r="K91" i="2"/>
  <c r="K92" i="2"/>
  <c r="K96" i="2"/>
  <c r="D104" i="2"/>
  <c r="K105" i="2"/>
  <c r="K110" i="2"/>
  <c r="K114" i="2"/>
  <c r="K120" i="2"/>
  <c r="K121" i="2"/>
  <c r="K136" i="2"/>
  <c r="K137" i="2"/>
  <c r="K139" i="2"/>
  <c r="K140" i="2"/>
  <c r="D152" i="2"/>
  <c r="D153" i="2"/>
  <c r="K156" i="2"/>
  <c r="K158" i="2"/>
  <c r="K160" i="2"/>
  <c r="K161" i="2"/>
  <c r="K162" i="2"/>
  <c r="D168" i="2"/>
  <c r="D169" i="2"/>
  <c r="K176" i="2"/>
  <c r="D184" i="2"/>
  <c r="D185" i="2"/>
  <c r="D192" i="2"/>
  <c r="D200" i="2"/>
  <c r="D201" i="2"/>
  <c r="K202" i="2"/>
  <c r="K204" i="2"/>
  <c r="K205" i="2"/>
  <c r="K206" i="2"/>
  <c r="K208" i="2"/>
  <c r="D216" i="2"/>
  <c r="K217" i="2"/>
  <c r="K218" i="2"/>
  <c r="K224" i="2"/>
  <c r="K232" i="2"/>
  <c r="K233" i="2"/>
  <c r="K234" i="2"/>
  <c r="K235" i="2"/>
  <c r="K242" i="2"/>
  <c r="D248" i="2"/>
  <c r="D249" i="2"/>
  <c r="K251" i="2"/>
  <c r="K252" i="2"/>
  <c r="K254" i="2"/>
  <c r="K256" i="2"/>
  <c r="D264" i="2"/>
  <c r="K265" i="2"/>
  <c r="K266" i="2"/>
  <c r="K272" i="2"/>
  <c r="K280" i="2"/>
  <c r="D281" i="2"/>
  <c r="K282" i="2"/>
  <c r="K288" i="2"/>
  <c r="K296" i="2"/>
  <c r="D297" i="2"/>
  <c r="K298" i="2"/>
  <c r="K300" i="2"/>
  <c r="K301" i="2"/>
  <c r="K302" i="2"/>
  <c r="K304" i="2"/>
  <c r="K312" i="2"/>
  <c r="K313" i="2"/>
  <c r="K314" i="2"/>
  <c r="K318" i="2"/>
  <c r="K320" i="2"/>
  <c r="D328" i="2"/>
  <c r="D329" i="2"/>
  <c r="K330" i="2"/>
  <c r="K331" i="2"/>
  <c r="K336" i="2"/>
  <c r="D344" i="2"/>
  <c r="D345" i="2"/>
  <c r="K347" i="2"/>
  <c r="K348" i="2"/>
  <c r="K349" i="2"/>
  <c r="K350" i="2"/>
  <c r="K352" i="2"/>
  <c r="K360" i="2"/>
  <c r="K361" i="2"/>
  <c r="K362" i="2"/>
  <c r="K368" i="2"/>
  <c r="K376" i="2"/>
  <c r="K377" i="2"/>
  <c r="K378" i="2"/>
  <c r="K379" i="2"/>
  <c r="K384" i="2"/>
  <c r="K385" i="2"/>
  <c r="K386" i="2"/>
  <c r="K392" i="2"/>
  <c r="K393" i="2"/>
  <c r="K394" i="2"/>
  <c r="K397" i="2"/>
  <c r="K398" i="2"/>
  <c r="K408" i="2"/>
  <c r="K409" i="2"/>
  <c r="K410" i="2"/>
  <c r="D80" i="2"/>
  <c r="K112" i="2"/>
  <c r="K128" i="2"/>
  <c r="K144" i="2"/>
  <c r="K240" i="2"/>
  <c r="K400" i="2"/>
  <c r="D2" i="2"/>
  <c r="E64" i="2"/>
  <c r="E79" i="2"/>
  <c r="E159" i="2"/>
  <c r="E288" i="2"/>
  <c r="K52" i="2"/>
  <c r="K53" i="2"/>
  <c r="K54" i="2"/>
  <c r="K55" i="2"/>
  <c r="K58" i="2"/>
  <c r="K59" i="2"/>
  <c r="K60" i="2"/>
  <c r="K61" i="2"/>
  <c r="K62" i="2"/>
  <c r="K63" i="2"/>
  <c r="K67" i="2"/>
  <c r="K68" i="2"/>
  <c r="K69" i="2"/>
  <c r="K70" i="2"/>
  <c r="K71" i="2"/>
  <c r="K74" i="2"/>
  <c r="K75" i="2"/>
  <c r="K76" i="2"/>
  <c r="K77" i="2"/>
  <c r="K78" i="2"/>
  <c r="K79" i="2"/>
  <c r="K83" i="2"/>
  <c r="K84" i="2"/>
  <c r="K85" i="2"/>
  <c r="K86" i="2"/>
  <c r="K87" i="2"/>
  <c r="K90" i="2"/>
  <c r="K93" i="2"/>
  <c r="K94" i="2"/>
  <c r="K95" i="2"/>
  <c r="K99" i="2"/>
  <c r="K100" i="2"/>
  <c r="K101" i="2"/>
  <c r="K102" i="2"/>
  <c r="K103" i="2"/>
  <c r="K106" i="2"/>
  <c r="K107" i="2"/>
  <c r="K108" i="2"/>
  <c r="K109" i="2"/>
  <c r="K111" i="2"/>
  <c r="K115" i="2"/>
  <c r="K116" i="2"/>
  <c r="K117" i="2"/>
  <c r="K118" i="2"/>
  <c r="K119" i="2"/>
  <c r="K122" i="2"/>
  <c r="K123" i="2"/>
  <c r="K124" i="2"/>
  <c r="K125" i="2"/>
  <c r="K126" i="2"/>
  <c r="K127" i="2"/>
  <c r="K131" i="2"/>
  <c r="K132" i="2"/>
  <c r="K133" i="2"/>
  <c r="K134" i="2"/>
  <c r="K135" i="2"/>
  <c r="K138" i="2"/>
  <c r="K141" i="2"/>
  <c r="K142" i="2"/>
  <c r="K143" i="2"/>
  <c r="K147" i="2"/>
  <c r="K148" i="2"/>
  <c r="K149" i="2"/>
  <c r="K150" i="2"/>
  <c r="K151" i="2"/>
  <c r="K152" i="2"/>
  <c r="K154" i="2"/>
  <c r="K155" i="2"/>
  <c r="K157" i="2"/>
  <c r="K159" i="2"/>
  <c r="K163" i="2"/>
  <c r="K164" i="2"/>
  <c r="K165" i="2"/>
  <c r="K166" i="2"/>
  <c r="K167" i="2"/>
  <c r="K170" i="2"/>
  <c r="K171" i="2"/>
  <c r="K172" i="2"/>
  <c r="K173" i="2"/>
  <c r="K174" i="2"/>
  <c r="K175" i="2"/>
  <c r="K179" i="2"/>
  <c r="K180" i="2"/>
  <c r="K181" i="2"/>
  <c r="K182" i="2"/>
  <c r="K183" i="2"/>
  <c r="K186" i="2"/>
  <c r="K187" i="2"/>
  <c r="K188" i="2"/>
  <c r="K189" i="2"/>
  <c r="K190" i="2"/>
  <c r="K191" i="2"/>
  <c r="K195" i="2"/>
  <c r="K196" i="2"/>
  <c r="K197" i="2"/>
  <c r="K198" i="2"/>
  <c r="K199" i="2"/>
  <c r="K203" i="2"/>
  <c r="K207" i="2"/>
  <c r="K211" i="2"/>
  <c r="K212" i="2"/>
  <c r="K213" i="2"/>
  <c r="K214" i="2"/>
  <c r="K215" i="2"/>
  <c r="K219" i="2"/>
  <c r="K220" i="2"/>
  <c r="K221" i="2"/>
  <c r="K222" i="2"/>
  <c r="K223" i="2"/>
  <c r="K227" i="2"/>
  <c r="K228" i="2"/>
  <c r="K229" i="2"/>
  <c r="K230" i="2"/>
  <c r="K231" i="2"/>
  <c r="K236" i="2"/>
  <c r="K237" i="2"/>
  <c r="K238" i="2"/>
  <c r="K239" i="2"/>
  <c r="K243" i="2"/>
  <c r="K244" i="2"/>
  <c r="K245" i="2"/>
  <c r="K246" i="2"/>
  <c r="K247" i="2"/>
  <c r="K248" i="2"/>
  <c r="K249" i="2"/>
  <c r="K250" i="2"/>
  <c r="K253" i="2"/>
  <c r="K255" i="2"/>
  <c r="K259" i="2"/>
  <c r="K260" i="2"/>
  <c r="K261" i="2"/>
  <c r="K262" i="2"/>
  <c r="K263" i="2"/>
  <c r="K267" i="2"/>
  <c r="K268" i="2"/>
  <c r="K269" i="2"/>
  <c r="K270" i="2"/>
  <c r="K271" i="2"/>
  <c r="K275" i="2"/>
  <c r="K276" i="2"/>
  <c r="K277" i="2"/>
  <c r="K278" i="2"/>
  <c r="K279" i="2"/>
  <c r="K283" i="2"/>
  <c r="K284" i="2"/>
  <c r="K285" i="2"/>
  <c r="K286" i="2"/>
  <c r="K287" i="2"/>
  <c r="K291" i="2"/>
  <c r="K292" i="2"/>
  <c r="K293" i="2"/>
  <c r="K294" i="2"/>
  <c r="K295" i="2"/>
  <c r="K299" i="2"/>
  <c r="K303" i="2"/>
  <c r="K307" i="2"/>
  <c r="K308" i="2"/>
  <c r="K309" i="2"/>
  <c r="K310" i="2"/>
  <c r="K311" i="2"/>
  <c r="K315" i="2"/>
  <c r="K316" i="2"/>
  <c r="K317" i="2"/>
  <c r="K319" i="2"/>
  <c r="K323" i="2"/>
  <c r="K324" i="2"/>
  <c r="K325" i="2"/>
  <c r="K326" i="2"/>
  <c r="K327" i="2"/>
  <c r="K332" i="2"/>
  <c r="K333" i="2"/>
  <c r="K334" i="2"/>
  <c r="K335" i="2"/>
  <c r="K339" i="2"/>
  <c r="K340" i="2"/>
  <c r="K341" i="2"/>
  <c r="K342" i="2"/>
  <c r="K343" i="2"/>
  <c r="K346" i="2"/>
  <c r="K351" i="2"/>
  <c r="K355" i="2"/>
  <c r="K356" i="2"/>
  <c r="K357" i="2"/>
  <c r="K358" i="2"/>
  <c r="K359" i="2"/>
  <c r="K363" i="2"/>
  <c r="K364" i="2"/>
  <c r="K365" i="2"/>
  <c r="K366" i="2"/>
  <c r="K367" i="2"/>
  <c r="K371" i="2"/>
  <c r="K372" i="2"/>
  <c r="K373" i="2"/>
  <c r="K374" i="2"/>
  <c r="K375" i="2"/>
  <c r="K380" i="2"/>
  <c r="K381" i="2"/>
  <c r="K382" i="2"/>
  <c r="K383" i="2"/>
  <c r="K387" i="2"/>
  <c r="K388" i="2"/>
  <c r="K389" i="2"/>
  <c r="K390" i="2"/>
  <c r="K391" i="2"/>
  <c r="K395" i="2"/>
  <c r="K396" i="2"/>
  <c r="K399" i="2"/>
  <c r="K403" i="2"/>
  <c r="K404" i="2"/>
  <c r="K405" i="2"/>
  <c r="K406" i="2"/>
  <c r="K407" i="2"/>
  <c r="K411" i="2"/>
  <c r="B31" i="2"/>
  <c r="J31" i="2" s="1"/>
  <c r="E31" i="2"/>
  <c r="B32" i="2"/>
  <c r="J32" i="2" s="1"/>
  <c r="E32" i="2"/>
  <c r="B33" i="2"/>
  <c r="J33" i="2" s="1"/>
  <c r="B34" i="2"/>
  <c r="J34" i="2" s="1"/>
  <c r="E34" i="2"/>
  <c r="B35" i="2"/>
  <c r="J35" i="2" s="1"/>
  <c r="E35" i="2"/>
  <c r="B36" i="2"/>
  <c r="J36" i="2" s="1"/>
  <c r="E36" i="2"/>
  <c r="B37" i="2"/>
  <c r="J37" i="2" s="1"/>
  <c r="E37" i="2"/>
  <c r="D38" i="2"/>
  <c r="B38" i="2"/>
  <c r="J38" i="2" s="1"/>
  <c r="D39" i="2"/>
  <c r="B39" i="2"/>
  <c r="J39" i="2" s="1"/>
  <c r="E39" i="2"/>
  <c r="B40" i="2"/>
  <c r="J40" i="2" s="1"/>
  <c r="E40" i="2"/>
  <c r="B41" i="2"/>
  <c r="J41" i="2" s="1"/>
  <c r="D42" i="2"/>
  <c r="B42" i="2"/>
  <c r="J42" i="2" s="1"/>
  <c r="E42" i="2"/>
  <c r="B52" i="2"/>
  <c r="J52" i="2" s="1"/>
  <c r="E52" i="2"/>
  <c r="D52" i="2"/>
  <c r="B53" i="2"/>
  <c r="J53" i="2" s="1"/>
  <c r="E53" i="2"/>
  <c r="D53" i="2"/>
  <c r="B54" i="2"/>
  <c r="J54" i="2" s="1"/>
  <c r="E54" i="2"/>
  <c r="D54" i="2"/>
  <c r="D55" i="2"/>
  <c r="B55" i="2"/>
  <c r="E55" i="2"/>
  <c r="J55" i="2"/>
  <c r="B56" i="2"/>
  <c r="J56" i="2" s="1"/>
  <c r="E56" i="2"/>
  <c r="B57" i="2"/>
  <c r="J57" i="2" s="1"/>
  <c r="E57" i="2"/>
  <c r="D58" i="2"/>
  <c r="B58" i="2"/>
  <c r="J58" i="2" s="1"/>
  <c r="E58" i="2"/>
  <c r="B59" i="2"/>
  <c r="J59" i="2" s="1"/>
  <c r="E59" i="2"/>
  <c r="D59" i="2"/>
  <c r="B60" i="2"/>
  <c r="J60" i="2" s="1"/>
  <c r="D60" i="2"/>
  <c r="B61" i="2"/>
  <c r="J61" i="2" s="1"/>
  <c r="D61" i="2"/>
  <c r="B62" i="2"/>
  <c r="J62" i="2" s="1"/>
  <c r="D62" i="2"/>
  <c r="D63" i="2"/>
  <c r="B63" i="2"/>
  <c r="J63" i="2" s="1"/>
  <c r="B64" i="2"/>
  <c r="J64" i="2" s="1"/>
  <c r="B65" i="2"/>
  <c r="J65" i="2"/>
  <c r="B66" i="2"/>
  <c r="J66" i="2" s="1"/>
  <c r="E66" i="2"/>
  <c r="B67" i="2"/>
  <c r="J67" i="2" s="1"/>
  <c r="E67" i="2"/>
  <c r="D67" i="2"/>
  <c r="B68" i="2"/>
  <c r="J68" i="2" s="1"/>
  <c r="E68" i="2"/>
  <c r="D68" i="2"/>
  <c r="B69" i="2"/>
  <c r="J69" i="2" s="1"/>
  <c r="E69" i="2"/>
  <c r="D69" i="2"/>
  <c r="B70" i="2"/>
  <c r="J70" i="2" s="1"/>
  <c r="D70" i="2"/>
  <c r="D71" i="2"/>
  <c r="B71" i="2"/>
  <c r="J71" i="2" s="1"/>
  <c r="E71" i="2"/>
  <c r="B72" i="2"/>
  <c r="J72" i="2" s="1"/>
  <c r="E72" i="2"/>
  <c r="B73" i="2"/>
  <c r="J73" i="2" s="1"/>
  <c r="D74" i="2"/>
  <c r="B74" i="2"/>
  <c r="J74" i="2" s="1"/>
  <c r="E74" i="2"/>
  <c r="B75" i="2"/>
  <c r="J75" i="2" s="1"/>
  <c r="D75" i="2"/>
  <c r="B76" i="2"/>
  <c r="J76" i="2" s="1"/>
  <c r="D76" i="2"/>
  <c r="B77" i="2"/>
  <c r="J77" i="2" s="1"/>
  <c r="D77" i="2"/>
  <c r="B78" i="2"/>
  <c r="J78" i="2" s="1"/>
  <c r="E78" i="2"/>
  <c r="D78" i="2"/>
  <c r="D79" i="2"/>
  <c r="B79" i="2"/>
  <c r="J79" i="2" s="1"/>
  <c r="B80" i="2"/>
  <c r="J80" i="2" s="1"/>
  <c r="E80" i="2"/>
  <c r="B81" i="2"/>
  <c r="J81" i="2" s="1"/>
  <c r="B82" i="2"/>
  <c r="J82" i="2" s="1"/>
  <c r="E82" i="2"/>
  <c r="B83" i="2"/>
  <c r="J83" i="2" s="1"/>
  <c r="E83" i="2"/>
  <c r="D83" i="2"/>
  <c r="B84" i="2"/>
  <c r="J84" i="2" s="1"/>
  <c r="E84" i="2"/>
  <c r="D84" i="2"/>
  <c r="B85" i="2"/>
  <c r="J85" i="2" s="1"/>
  <c r="E85" i="2"/>
  <c r="D85" i="2"/>
  <c r="B86" i="2"/>
  <c r="J86" i="2" s="1"/>
  <c r="E86" i="2"/>
  <c r="D86" i="2"/>
  <c r="D87" i="2"/>
  <c r="B87" i="2"/>
  <c r="E87" i="2"/>
  <c r="J87" i="2"/>
  <c r="B88" i="2"/>
  <c r="J88" i="2" s="1"/>
  <c r="B89" i="2"/>
  <c r="E89" i="2"/>
  <c r="J89" i="2"/>
  <c r="D90" i="2"/>
  <c r="B90" i="2"/>
  <c r="J90" i="2" s="1"/>
  <c r="E90" i="2"/>
  <c r="B91" i="2"/>
  <c r="J91" i="2" s="1"/>
  <c r="E91" i="2"/>
  <c r="D91" i="2"/>
  <c r="B92" i="2"/>
  <c r="J92" i="2" s="1"/>
  <c r="D92" i="2"/>
  <c r="B93" i="2"/>
  <c r="J93" i="2" s="1"/>
  <c r="D93" i="2"/>
  <c r="B94" i="2"/>
  <c r="J94" i="2" s="1"/>
  <c r="D94" i="2"/>
  <c r="D95" i="2"/>
  <c r="B95" i="2"/>
  <c r="J95" i="2" s="1"/>
  <c r="E95" i="2"/>
  <c r="B96" i="2"/>
  <c r="J96" i="2" s="1"/>
  <c r="B97" i="2"/>
  <c r="J97" i="2" s="1"/>
  <c r="B98" i="2"/>
  <c r="J98" i="2" s="1"/>
  <c r="E98" i="2"/>
  <c r="B99" i="2"/>
  <c r="J99" i="2" s="1"/>
  <c r="E99" i="2"/>
  <c r="D99" i="2"/>
  <c r="B100" i="2"/>
  <c r="J100" i="2" s="1"/>
  <c r="D100" i="2"/>
  <c r="B101" i="2"/>
  <c r="J101" i="2" s="1"/>
  <c r="E101" i="2"/>
  <c r="D101" i="2"/>
  <c r="B102" i="2"/>
  <c r="J102" i="2" s="1"/>
  <c r="E102" i="2"/>
  <c r="D102" i="2"/>
  <c r="D103" i="2"/>
  <c r="B103" i="2"/>
  <c r="J103" i="2" s="1"/>
  <c r="E103" i="2"/>
  <c r="B104" i="2"/>
  <c r="J104" i="2" s="1"/>
  <c r="E104" i="2"/>
  <c r="B105" i="2"/>
  <c r="J105" i="2" s="1"/>
  <c r="E105" i="2"/>
  <c r="D106" i="2"/>
  <c r="B106" i="2"/>
  <c r="J106" i="2" s="1"/>
  <c r="E106" i="2"/>
  <c r="B107" i="2"/>
  <c r="J107" i="2" s="1"/>
  <c r="D107" i="2"/>
  <c r="B108" i="2"/>
  <c r="D108" i="2"/>
  <c r="J108" i="2"/>
  <c r="B109" i="2"/>
  <c r="J109" i="2" s="1"/>
  <c r="D109" i="2"/>
  <c r="B110" i="2"/>
  <c r="J110" i="2" s="1"/>
  <c r="E110" i="2"/>
  <c r="D110" i="2"/>
  <c r="D111" i="2"/>
  <c r="B111" i="2"/>
  <c r="J111" i="2" s="1"/>
  <c r="B112" i="2"/>
  <c r="J112" i="2" s="1"/>
  <c r="B113" i="2"/>
  <c r="J113" i="2" s="1"/>
  <c r="B114" i="2"/>
  <c r="J114" i="2" s="1"/>
  <c r="E114" i="2"/>
  <c r="B115" i="2"/>
  <c r="J115" i="2" s="1"/>
  <c r="E115" i="2"/>
  <c r="D115" i="2"/>
  <c r="B116" i="2"/>
  <c r="J116" i="2" s="1"/>
  <c r="E116" i="2"/>
  <c r="D116" i="2"/>
  <c r="B117" i="2"/>
  <c r="J117" i="2" s="1"/>
  <c r="E117" i="2"/>
  <c r="D117" i="2"/>
  <c r="B118" i="2"/>
  <c r="J118" i="2" s="1"/>
  <c r="E118" i="2"/>
  <c r="D118" i="2"/>
  <c r="D119" i="2"/>
  <c r="B119" i="2"/>
  <c r="E119" i="2"/>
  <c r="J119" i="2"/>
  <c r="B120" i="2"/>
  <c r="J120" i="2" s="1"/>
  <c r="E120" i="2"/>
  <c r="B121" i="2"/>
  <c r="J121" i="2" s="1"/>
  <c r="E121" i="2"/>
  <c r="D122" i="2"/>
  <c r="B122" i="2"/>
  <c r="J122" i="2" s="1"/>
  <c r="E122" i="2"/>
  <c r="B123" i="2"/>
  <c r="J123" i="2" s="1"/>
  <c r="E123" i="2"/>
  <c r="D123" i="2"/>
  <c r="B124" i="2"/>
  <c r="J124" i="2" s="1"/>
  <c r="D124" i="2"/>
  <c r="B125" i="2"/>
  <c r="J125" i="2" s="1"/>
  <c r="D125" i="2"/>
  <c r="B126" i="2"/>
  <c r="J126" i="2" s="1"/>
  <c r="D126" i="2"/>
  <c r="D127" i="2"/>
  <c r="B127" i="2"/>
  <c r="J127" i="2" s="1"/>
  <c r="B128" i="2"/>
  <c r="J128" i="2" s="1"/>
  <c r="E128" i="2"/>
  <c r="D128" i="2"/>
  <c r="B129" i="2"/>
  <c r="J129" i="2" s="1"/>
  <c r="B130" i="2"/>
  <c r="J130" i="2" s="1"/>
  <c r="E130" i="2"/>
  <c r="B131" i="2"/>
  <c r="J131" i="2" s="1"/>
  <c r="E131" i="2"/>
  <c r="D131" i="2"/>
  <c r="B132" i="2"/>
  <c r="E132" i="2"/>
  <c r="D132" i="2"/>
  <c r="J132" i="2"/>
  <c r="D133" i="2"/>
  <c r="B133" i="2"/>
  <c r="J133" i="2" s="1"/>
  <c r="E133" i="2"/>
  <c r="B134" i="2"/>
  <c r="J134" i="2" s="1"/>
  <c r="E134" i="2"/>
  <c r="D134" i="2"/>
  <c r="D135" i="2"/>
  <c r="B135" i="2"/>
  <c r="J135" i="2" s="1"/>
  <c r="E135" i="2"/>
  <c r="B136" i="2"/>
  <c r="J136" i="2" s="1"/>
  <c r="E136" i="2"/>
  <c r="D136" i="2"/>
  <c r="B137" i="2"/>
  <c r="J137" i="2" s="1"/>
  <c r="D138" i="2"/>
  <c r="B138" i="2"/>
  <c r="J138" i="2" s="1"/>
  <c r="E138" i="2"/>
  <c r="B139" i="2"/>
  <c r="J139" i="2" s="1"/>
  <c r="E139" i="2"/>
  <c r="D139" i="2"/>
  <c r="B140" i="2"/>
  <c r="D140" i="2"/>
  <c r="J140" i="2"/>
  <c r="B141" i="2"/>
  <c r="J141" i="2" s="1"/>
  <c r="D141" i="2"/>
  <c r="B142" i="2"/>
  <c r="J142" i="2" s="1"/>
  <c r="D142" i="2"/>
  <c r="D143" i="2"/>
  <c r="B143" i="2"/>
  <c r="E143" i="2"/>
  <c r="J143" i="2"/>
  <c r="B144" i="2"/>
  <c r="J144" i="2" s="1"/>
  <c r="E144" i="2"/>
  <c r="D144" i="2"/>
  <c r="B145" i="2"/>
  <c r="J145" i="2"/>
  <c r="B146" i="2"/>
  <c r="J146" i="2" s="1"/>
  <c r="E146" i="2"/>
  <c r="B147" i="2"/>
  <c r="J147" i="2" s="1"/>
  <c r="E147" i="2"/>
  <c r="D147" i="2"/>
  <c r="B148" i="2"/>
  <c r="J148" i="2" s="1"/>
  <c r="E148" i="2"/>
  <c r="D148" i="2"/>
  <c r="B149" i="2"/>
  <c r="J149" i="2" s="1"/>
  <c r="E149" i="2"/>
  <c r="D149" i="2"/>
  <c r="B150" i="2"/>
  <c r="J150" i="2" s="1"/>
  <c r="E150" i="2"/>
  <c r="D150" i="2"/>
  <c r="D151" i="2"/>
  <c r="B151" i="2"/>
  <c r="J151" i="2" s="1"/>
  <c r="E151" i="2"/>
  <c r="B152" i="2"/>
  <c r="J152" i="2" s="1"/>
  <c r="B153" i="2"/>
  <c r="J153" i="2" s="1"/>
  <c r="D154" i="2"/>
  <c r="B154" i="2"/>
  <c r="E154" i="2"/>
  <c r="J154" i="2"/>
  <c r="B155" i="2"/>
  <c r="J155" i="2" s="1"/>
  <c r="E155" i="2"/>
  <c r="D155" i="2"/>
  <c r="B156" i="2"/>
  <c r="J156" i="2" s="1"/>
  <c r="D156" i="2"/>
  <c r="D157" i="2"/>
  <c r="B157" i="2"/>
  <c r="J157" i="2" s="1"/>
  <c r="B158" i="2"/>
  <c r="J158" i="2" s="1"/>
  <c r="E158" i="2"/>
  <c r="D158" i="2"/>
  <c r="D159" i="2"/>
  <c r="B159" i="2"/>
  <c r="J159" i="2" s="1"/>
  <c r="B160" i="2"/>
  <c r="J160" i="2" s="1"/>
  <c r="B161" i="2"/>
  <c r="J161" i="2" s="1"/>
  <c r="B162" i="2"/>
  <c r="E162" i="2"/>
  <c r="J162" i="2"/>
  <c r="B163" i="2"/>
  <c r="J163" i="2" s="1"/>
  <c r="E163" i="2"/>
  <c r="D163" i="2"/>
  <c r="B164" i="2"/>
  <c r="E164" i="2"/>
  <c r="D164" i="2"/>
  <c r="J164" i="2"/>
  <c r="B165" i="2"/>
  <c r="J165" i="2" s="1"/>
  <c r="E165" i="2"/>
  <c r="D165" i="2"/>
  <c r="B166" i="2"/>
  <c r="E166" i="2"/>
  <c r="D166" i="2"/>
  <c r="J166" i="2"/>
  <c r="D167" i="2"/>
  <c r="B167" i="2"/>
  <c r="J167" i="2" s="1"/>
  <c r="B168" i="2"/>
  <c r="J168" i="2" s="1"/>
  <c r="E168" i="2"/>
  <c r="B169" i="2"/>
  <c r="E169" i="2"/>
  <c r="J169" i="2"/>
  <c r="D170" i="2"/>
  <c r="B170" i="2"/>
  <c r="J170" i="2" s="1"/>
  <c r="E170" i="2"/>
  <c r="D171" i="2"/>
  <c r="B171" i="2"/>
  <c r="J171" i="2" s="1"/>
  <c r="E171" i="2"/>
  <c r="B172" i="2"/>
  <c r="J172" i="2" s="1"/>
  <c r="D172" i="2"/>
  <c r="D173" i="2"/>
  <c r="B173" i="2"/>
  <c r="J173" i="2" s="1"/>
  <c r="B174" i="2"/>
  <c r="J174" i="2" s="1"/>
  <c r="E174" i="2"/>
  <c r="D174" i="2"/>
  <c r="D175" i="2"/>
  <c r="B175" i="2"/>
  <c r="J175" i="2"/>
  <c r="B176" i="2"/>
  <c r="J176" i="2" s="1"/>
  <c r="E176" i="2"/>
  <c r="B177" i="2"/>
  <c r="J177" i="2"/>
  <c r="B178" i="2"/>
  <c r="J178" i="2" s="1"/>
  <c r="D179" i="2"/>
  <c r="B179" i="2"/>
  <c r="J179" i="2" s="1"/>
  <c r="E179" i="2"/>
  <c r="B180" i="2"/>
  <c r="J180" i="2" s="1"/>
  <c r="E180" i="2"/>
  <c r="D180" i="2"/>
  <c r="B181" i="2"/>
  <c r="J181" i="2" s="1"/>
  <c r="E181" i="2"/>
  <c r="D181" i="2"/>
  <c r="B182" i="2"/>
  <c r="E182" i="2"/>
  <c r="D182" i="2"/>
  <c r="J182" i="2"/>
  <c r="D183" i="2"/>
  <c r="B183" i="2"/>
  <c r="J183" i="2" s="1"/>
  <c r="B184" i="2"/>
  <c r="J184" i="2" s="1"/>
  <c r="E184" i="2"/>
  <c r="B185" i="2"/>
  <c r="J185" i="2" s="1"/>
  <c r="E185" i="2"/>
  <c r="D186" i="2"/>
  <c r="B186" i="2"/>
  <c r="J186" i="2" s="1"/>
  <c r="B187" i="2"/>
  <c r="J187" i="2" s="1"/>
  <c r="E187" i="2"/>
  <c r="D187" i="2"/>
  <c r="D188" i="2"/>
  <c r="B188" i="2"/>
  <c r="J188" i="2" s="1"/>
  <c r="D189" i="2"/>
  <c r="B189" i="2"/>
  <c r="J189" i="2" s="1"/>
  <c r="B190" i="2"/>
  <c r="J190" i="2" s="1"/>
  <c r="D190" i="2"/>
  <c r="D191" i="2"/>
  <c r="B191" i="2"/>
  <c r="E191" i="2"/>
  <c r="J191" i="2"/>
  <c r="B192" i="2"/>
  <c r="J192" i="2" s="1"/>
  <c r="E192" i="2"/>
  <c r="B193" i="2"/>
  <c r="J193" i="2" s="1"/>
  <c r="B194" i="2"/>
  <c r="J194" i="2"/>
  <c r="D195" i="2"/>
  <c r="B195" i="2"/>
  <c r="J195" i="2" s="1"/>
  <c r="E195" i="2"/>
  <c r="B196" i="2"/>
  <c r="E196" i="2"/>
  <c r="D196" i="2"/>
  <c r="J196" i="2"/>
  <c r="B197" i="2"/>
  <c r="J197" i="2" s="1"/>
  <c r="D197" i="2"/>
  <c r="B198" i="2"/>
  <c r="J198" i="2" s="1"/>
  <c r="E198" i="2"/>
  <c r="D198" i="2"/>
  <c r="D199" i="2"/>
  <c r="B199" i="2"/>
  <c r="J199" i="2" s="1"/>
  <c r="B200" i="2"/>
  <c r="J200" i="2" s="1"/>
  <c r="B201" i="2"/>
  <c r="J201" i="2" s="1"/>
  <c r="E201" i="2"/>
  <c r="D202" i="2"/>
  <c r="B202" i="2"/>
  <c r="J202" i="2" s="1"/>
  <c r="E202" i="2"/>
  <c r="B203" i="2"/>
  <c r="J203" i="2" s="1"/>
  <c r="E203" i="2"/>
  <c r="D203" i="2"/>
  <c r="B204" i="2"/>
  <c r="J204" i="2" s="1"/>
  <c r="D204" i="2"/>
  <c r="B205" i="2"/>
  <c r="J205" i="2" s="1"/>
  <c r="D205" i="2"/>
  <c r="B206" i="2"/>
  <c r="E206" i="2"/>
  <c r="D206" i="2"/>
  <c r="J206" i="2"/>
  <c r="B207" i="2"/>
  <c r="J207" i="2" s="1"/>
  <c r="D207" i="2"/>
  <c r="B208" i="2"/>
  <c r="J208" i="2" s="1"/>
  <c r="E208" i="2"/>
  <c r="B209" i="2"/>
  <c r="J209" i="2" s="1"/>
  <c r="B210" i="2"/>
  <c r="J210" i="2" s="1"/>
  <c r="E210" i="2"/>
  <c r="B211" i="2"/>
  <c r="J211" i="2" s="1"/>
  <c r="E211" i="2"/>
  <c r="D211" i="2"/>
  <c r="B212" i="2"/>
  <c r="J212" i="2" s="1"/>
  <c r="E212" i="2"/>
  <c r="D212" i="2"/>
  <c r="B213" i="2"/>
  <c r="J213" i="2" s="1"/>
  <c r="E213" i="2"/>
  <c r="D213" i="2"/>
  <c r="B214" i="2"/>
  <c r="J214" i="2" s="1"/>
  <c r="E214" i="2"/>
  <c r="D214" i="2"/>
  <c r="B215" i="2"/>
  <c r="J215" i="2" s="1"/>
  <c r="E215" i="2"/>
  <c r="D215" i="2"/>
  <c r="B216" i="2"/>
  <c r="J216" i="2" s="1"/>
  <c r="E216" i="2"/>
  <c r="B217" i="2"/>
  <c r="J217" i="2" s="1"/>
  <c r="E217" i="2"/>
  <c r="D218" i="2"/>
  <c r="B218" i="2"/>
  <c r="J218" i="2" s="1"/>
  <c r="E218" i="2"/>
  <c r="D219" i="2"/>
  <c r="B219" i="2"/>
  <c r="J219" i="2" s="1"/>
  <c r="E219" i="2"/>
  <c r="B220" i="2"/>
  <c r="D220" i="2"/>
  <c r="J220" i="2"/>
  <c r="B221" i="2"/>
  <c r="J221" i="2" s="1"/>
  <c r="D221" i="2"/>
  <c r="B222" i="2"/>
  <c r="E222" i="2"/>
  <c r="D222" i="2"/>
  <c r="J222" i="2"/>
  <c r="B223" i="2"/>
  <c r="J223" i="2" s="1"/>
  <c r="D223" i="2"/>
  <c r="B224" i="2"/>
  <c r="E224" i="2"/>
  <c r="J224" i="2"/>
  <c r="B225" i="2"/>
  <c r="J225" i="2" s="1"/>
  <c r="B226" i="2"/>
  <c r="J226" i="2" s="1"/>
  <c r="E226" i="2"/>
  <c r="B227" i="2"/>
  <c r="J227" i="2" s="1"/>
  <c r="E227" i="2"/>
  <c r="D227" i="2"/>
  <c r="B228" i="2"/>
  <c r="J228" i="2" s="1"/>
  <c r="E228" i="2"/>
  <c r="D228" i="2"/>
  <c r="B229" i="2"/>
  <c r="E229" i="2"/>
  <c r="D229" i="2"/>
  <c r="J229" i="2"/>
  <c r="B230" i="2"/>
  <c r="J230" i="2" s="1"/>
  <c r="E230" i="2"/>
  <c r="D230" i="2"/>
  <c r="B231" i="2"/>
  <c r="J231" i="2" s="1"/>
  <c r="E231" i="2"/>
  <c r="D231" i="2"/>
  <c r="B232" i="2"/>
  <c r="J232" i="2" s="1"/>
  <c r="E232" i="2"/>
  <c r="B233" i="2"/>
  <c r="J233" i="2" s="1"/>
  <c r="E233" i="2"/>
  <c r="D234" i="2"/>
  <c r="B234" i="2"/>
  <c r="J234" i="2" s="1"/>
  <c r="E234" i="2"/>
  <c r="B235" i="2"/>
  <c r="J235" i="2" s="1"/>
  <c r="D235" i="2"/>
  <c r="B236" i="2"/>
  <c r="D236" i="2"/>
  <c r="J236" i="2"/>
  <c r="B237" i="2"/>
  <c r="J237" i="2" s="1"/>
  <c r="D237" i="2"/>
  <c r="B238" i="2"/>
  <c r="E238" i="2"/>
  <c r="D238" i="2"/>
  <c r="J238" i="2"/>
  <c r="B239" i="2"/>
  <c r="J239" i="2" s="1"/>
  <c r="D239" i="2"/>
  <c r="B240" i="2"/>
  <c r="J240" i="2" s="1"/>
  <c r="E240" i="2"/>
  <c r="B241" i="2"/>
  <c r="J241" i="2" s="1"/>
  <c r="B242" i="2"/>
  <c r="J242" i="2" s="1"/>
  <c r="E242" i="2"/>
  <c r="B243" i="2"/>
  <c r="J243" i="2" s="1"/>
  <c r="E243" i="2"/>
  <c r="D243" i="2"/>
  <c r="B244" i="2"/>
  <c r="J244" i="2" s="1"/>
  <c r="E244" i="2"/>
  <c r="D244" i="2"/>
  <c r="B245" i="2"/>
  <c r="E245" i="2"/>
  <c r="D245" i="2"/>
  <c r="J245" i="2"/>
  <c r="B246" i="2"/>
  <c r="J246" i="2" s="1"/>
  <c r="D246" i="2"/>
  <c r="B247" i="2"/>
  <c r="E247" i="2"/>
  <c r="D247" i="2"/>
  <c r="J247" i="2"/>
  <c r="B248" i="2"/>
  <c r="J248" i="2" s="1"/>
  <c r="E248" i="2"/>
  <c r="B249" i="2"/>
  <c r="J249" i="2" s="1"/>
  <c r="E249" i="2"/>
  <c r="D250" i="2"/>
  <c r="B250" i="2"/>
  <c r="J250" i="2" s="1"/>
  <c r="B251" i="2"/>
  <c r="J251" i="2" s="1"/>
  <c r="D251" i="2"/>
  <c r="B252" i="2"/>
  <c r="J252" i="2" s="1"/>
  <c r="D252" i="2"/>
  <c r="B253" i="2"/>
  <c r="J253" i="2" s="1"/>
  <c r="D253" i="2"/>
  <c r="B254" i="2"/>
  <c r="J254" i="2" s="1"/>
  <c r="D254" i="2"/>
  <c r="B255" i="2"/>
  <c r="J255" i="2" s="1"/>
  <c r="D255" i="2"/>
  <c r="B256" i="2"/>
  <c r="J256" i="2" s="1"/>
  <c r="B257" i="2"/>
  <c r="J257" i="2" s="1"/>
  <c r="B258" i="2"/>
  <c r="J258" i="2" s="1"/>
  <c r="E258" i="2"/>
  <c r="D259" i="2"/>
  <c r="B259" i="2"/>
  <c r="J259" i="2" s="1"/>
  <c r="E259" i="2"/>
  <c r="B260" i="2"/>
  <c r="J260" i="2" s="1"/>
  <c r="E260" i="2"/>
  <c r="D260" i="2"/>
  <c r="B261" i="2"/>
  <c r="J261" i="2" s="1"/>
  <c r="E261" i="2"/>
  <c r="D261" i="2"/>
  <c r="B262" i="2"/>
  <c r="J262" i="2" s="1"/>
  <c r="E262" i="2"/>
  <c r="D262" i="2"/>
  <c r="B263" i="2"/>
  <c r="J263" i="2" s="1"/>
  <c r="E263" i="2"/>
  <c r="D263" i="2"/>
  <c r="B264" i="2"/>
  <c r="J264" i="2" s="1"/>
  <c r="E264" i="2"/>
  <c r="B265" i="2"/>
  <c r="J265" i="2" s="1"/>
  <c r="E265" i="2"/>
  <c r="D266" i="2"/>
  <c r="B266" i="2"/>
  <c r="J266" i="2" s="1"/>
  <c r="E266" i="2"/>
  <c r="B267" i="2"/>
  <c r="J267" i="2" s="1"/>
  <c r="E267" i="2"/>
  <c r="D267" i="2"/>
  <c r="B268" i="2"/>
  <c r="J268" i="2" s="1"/>
  <c r="E268" i="2"/>
  <c r="D268" i="2"/>
  <c r="B269" i="2"/>
  <c r="J269" i="2" s="1"/>
  <c r="D269" i="2"/>
  <c r="B270" i="2"/>
  <c r="J270" i="2" s="1"/>
  <c r="E270" i="2"/>
  <c r="D270" i="2"/>
  <c r="B271" i="2"/>
  <c r="J271" i="2" s="1"/>
  <c r="D271" i="2"/>
  <c r="B272" i="2"/>
  <c r="J272" i="2" s="1"/>
  <c r="E272" i="2"/>
  <c r="D272" i="2"/>
  <c r="B273" i="2"/>
  <c r="J273" i="2" s="1"/>
  <c r="B274" i="2"/>
  <c r="J274" i="2" s="1"/>
  <c r="E274" i="2"/>
  <c r="D275" i="2"/>
  <c r="B275" i="2"/>
  <c r="J275" i="2" s="1"/>
  <c r="E275" i="2"/>
  <c r="B276" i="2"/>
  <c r="J276" i="2" s="1"/>
  <c r="E276" i="2"/>
  <c r="D276" i="2"/>
  <c r="B277" i="2"/>
  <c r="J277" i="2" s="1"/>
  <c r="E277" i="2"/>
  <c r="D277" i="2"/>
  <c r="B278" i="2"/>
  <c r="J278" i="2" s="1"/>
  <c r="E278" i="2"/>
  <c r="D278" i="2"/>
  <c r="B279" i="2"/>
  <c r="J279" i="2" s="1"/>
  <c r="E279" i="2"/>
  <c r="D279" i="2"/>
  <c r="B280" i="2"/>
  <c r="J280" i="2" s="1"/>
  <c r="E280" i="2"/>
  <c r="D280" i="2"/>
  <c r="B281" i="2"/>
  <c r="E281" i="2"/>
  <c r="J281" i="2"/>
  <c r="D282" i="2"/>
  <c r="B282" i="2"/>
  <c r="J282" i="2" s="1"/>
  <c r="E282" i="2"/>
  <c r="D283" i="2"/>
  <c r="B283" i="2"/>
  <c r="J283" i="2" s="1"/>
  <c r="E283" i="2"/>
  <c r="B284" i="2"/>
  <c r="J284" i="2" s="1"/>
  <c r="D284" i="2"/>
  <c r="B285" i="2"/>
  <c r="J285" i="2" s="1"/>
  <c r="D285" i="2"/>
  <c r="B286" i="2"/>
  <c r="J286" i="2" s="1"/>
  <c r="D286" i="2"/>
  <c r="B287" i="2"/>
  <c r="J287" i="2" s="1"/>
  <c r="D287" i="2"/>
  <c r="B288" i="2"/>
  <c r="J288" i="2" s="1"/>
  <c r="B289" i="2"/>
  <c r="J289" i="2" s="1"/>
  <c r="B290" i="2"/>
  <c r="J290" i="2" s="1"/>
  <c r="E290" i="2"/>
  <c r="D291" i="2"/>
  <c r="B291" i="2"/>
  <c r="J291" i="2" s="1"/>
  <c r="E291" i="2"/>
  <c r="B292" i="2"/>
  <c r="J292" i="2" s="1"/>
  <c r="E292" i="2"/>
  <c r="D292" i="2"/>
  <c r="D293" i="2"/>
  <c r="B293" i="2"/>
  <c r="J293" i="2" s="1"/>
  <c r="E293" i="2"/>
  <c r="B294" i="2"/>
  <c r="E294" i="2"/>
  <c r="D294" i="2"/>
  <c r="J294" i="2"/>
  <c r="B295" i="2"/>
  <c r="J295" i="2" s="1"/>
  <c r="E295" i="2"/>
  <c r="D295" i="2"/>
  <c r="B296" i="2"/>
  <c r="E296" i="2"/>
  <c r="J296" i="2"/>
  <c r="B297" i="2"/>
  <c r="J297" i="2" s="1"/>
  <c r="E297" i="2"/>
  <c r="D298" i="2"/>
  <c r="B298" i="2"/>
  <c r="J298" i="2" s="1"/>
  <c r="E298" i="2"/>
  <c r="D299" i="2"/>
  <c r="B299" i="2"/>
  <c r="J299" i="2" s="1"/>
  <c r="E299" i="2"/>
  <c r="B300" i="2"/>
  <c r="J300" i="2" s="1"/>
  <c r="D300" i="2"/>
  <c r="D301" i="2"/>
  <c r="B301" i="2"/>
  <c r="J301" i="2" s="1"/>
  <c r="B302" i="2"/>
  <c r="E302" i="2"/>
  <c r="D302" i="2"/>
  <c r="J302" i="2"/>
  <c r="B303" i="2"/>
  <c r="J303" i="2" s="1"/>
  <c r="E303" i="2"/>
  <c r="D303" i="2"/>
  <c r="B304" i="2"/>
  <c r="J304" i="2" s="1"/>
  <c r="E304" i="2"/>
  <c r="B305" i="2"/>
  <c r="J305" i="2" s="1"/>
  <c r="B306" i="2"/>
  <c r="J306" i="2" s="1"/>
  <c r="E306" i="2"/>
  <c r="B307" i="2"/>
  <c r="J307" i="2" s="1"/>
  <c r="D307" i="2"/>
  <c r="D308" i="2"/>
  <c r="B308" i="2"/>
  <c r="J308" i="2" s="1"/>
  <c r="B309" i="2"/>
  <c r="J309" i="2" s="1"/>
  <c r="E309" i="2"/>
  <c r="D309" i="2"/>
  <c r="D310" i="2"/>
  <c r="B310" i="2"/>
  <c r="E310" i="2"/>
  <c r="J310" i="2"/>
  <c r="B311" i="2"/>
  <c r="J311" i="2" s="1"/>
  <c r="E311" i="2"/>
  <c r="D311" i="2"/>
  <c r="D312" i="2"/>
  <c r="B312" i="2"/>
  <c r="J312" i="2" s="1"/>
  <c r="E312" i="2"/>
  <c r="B313" i="2"/>
  <c r="J313" i="2" s="1"/>
  <c r="D314" i="2"/>
  <c r="B314" i="2"/>
  <c r="J314" i="2" s="1"/>
  <c r="E314" i="2"/>
  <c r="B315" i="2"/>
  <c r="J315" i="2" s="1"/>
  <c r="D315" i="2"/>
  <c r="B316" i="2"/>
  <c r="D316" i="2"/>
  <c r="J316" i="2"/>
  <c r="B317" i="2"/>
  <c r="J317" i="2" s="1"/>
  <c r="D317" i="2"/>
  <c r="B318" i="2"/>
  <c r="J318" i="2" s="1"/>
  <c r="E318" i="2"/>
  <c r="D318" i="2"/>
  <c r="B319" i="2"/>
  <c r="E319" i="2"/>
  <c r="D319" i="2"/>
  <c r="J319" i="2"/>
  <c r="B320" i="2"/>
  <c r="J320" i="2" s="1"/>
  <c r="D320" i="2"/>
  <c r="B321" i="2"/>
  <c r="E321" i="2"/>
  <c r="J321" i="2"/>
  <c r="D322" i="2"/>
  <c r="B322" i="2"/>
  <c r="J322" i="2" s="1"/>
  <c r="E322" i="2"/>
  <c r="B323" i="2"/>
  <c r="J323" i="2" s="1"/>
  <c r="D323" i="2"/>
  <c r="D324" i="2"/>
  <c r="B324" i="2"/>
  <c r="J324" i="2" s="1"/>
  <c r="D325" i="2"/>
  <c r="B325" i="2"/>
  <c r="J325" i="2" s="1"/>
  <c r="E325" i="2"/>
  <c r="D326" i="2"/>
  <c r="B326" i="2"/>
  <c r="J326" i="2" s="1"/>
  <c r="E326" i="2"/>
  <c r="B327" i="2"/>
  <c r="J327" i="2" s="1"/>
  <c r="E327" i="2"/>
  <c r="D327" i="2"/>
  <c r="B328" i="2"/>
  <c r="J328" i="2" s="1"/>
  <c r="E328" i="2"/>
  <c r="B329" i="2"/>
  <c r="J329" i="2" s="1"/>
  <c r="D330" i="2"/>
  <c r="B330" i="2"/>
  <c r="J330" i="2" s="1"/>
  <c r="E330" i="2"/>
  <c r="B331" i="2"/>
  <c r="J331" i="2" s="1"/>
  <c r="E331" i="2"/>
  <c r="D331" i="2"/>
  <c r="D332" i="2"/>
  <c r="B332" i="2"/>
  <c r="J332" i="2" s="1"/>
  <c r="B333" i="2"/>
  <c r="J333" i="2" s="1"/>
  <c r="D333" i="2"/>
  <c r="D334" i="2"/>
  <c r="B334" i="2"/>
  <c r="J334" i="2"/>
  <c r="B335" i="2"/>
  <c r="J335" i="2" s="1"/>
  <c r="E335" i="2"/>
  <c r="D335" i="2"/>
  <c r="D336" i="2"/>
  <c r="B336" i="2"/>
  <c r="J336" i="2" s="1"/>
  <c r="B337" i="2"/>
  <c r="J337" i="2" s="1"/>
  <c r="B338" i="2"/>
  <c r="E338" i="2"/>
  <c r="J338" i="2"/>
  <c r="B339" i="2"/>
  <c r="J339" i="2" s="1"/>
  <c r="E339" i="2"/>
  <c r="D339" i="2"/>
  <c r="B340" i="2"/>
  <c r="J340" i="2" s="1"/>
  <c r="E340" i="2"/>
  <c r="D340" i="2"/>
  <c r="D341" i="2"/>
  <c r="B341" i="2"/>
  <c r="J341" i="2" s="1"/>
  <c r="E341" i="2"/>
  <c r="D342" i="2"/>
  <c r="B342" i="2"/>
  <c r="J342" i="2" s="1"/>
  <c r="E342" i="2"/>
  <c r="B343" i="2"/>
  <c r="J343" i="2" s="1"/>
  <c r="D343" i="2"/>
  <c r="B344" i="2"/>
  <c r="J344" i="2" s="1"/>
  <c r="E344" i="2"/>
  <c r="B345" i="2"/>
  <c r="J345" i="2" s="1"/>
  <c r="D346" i="2"/>
  <c r="B346" i="2"/>
  <c r="J346" i="2" s="1"/>
  <c r="E346" i="2"/>
  <c r="B347" i="2"/>
  <c r="J347" i="2" s="1"/>
  <c r="D347" i="2"/>
  <c r="B348" i="2"/>
  <c r="J348" i="2" s="1"/>
  <c r="D348" i="2"/>
  <c r="D349" i="2"/>
  <c r="B349" i="2"/>
  <c r="J349" i="2" s="1"/>
  <c r="E349" i="2"/>
  <c r="D350" i="2"/>
  <c r="B350" i="2"/>
  <c r="J350" i="2" s="1"/>
  <c r="B351" i="2"/>
  <c r="D351" i="2"/>
  <c r="J351" i="2"/>
  <c r="D352" i="2"/>
  <c r="B352" i="2"/>
  <c r="J352" i="2" s="1"/>
  <c r="E352" i="2"/>
  <c r="B353" i="2"/>
  <c r="J353" i="2" s="1"/>
  <c r="B354" i="2"/>
  <c r="J354" i="2" s="1"/>
  <c r="E354" i="2"/>
  <c r="B355" i="2"/>
  <c r="J355" i="2" s="1"/>
  <c r="D355" i="2"/>
  <c r="B356" i="2"/>
  <c r="J356" i="2" s="1"/>
  <c r="E356" i="2"/>
  <c r="D356" i="2"/>
  <c r="D357" i="2"/>
  <c r="B357" i="2"/>
  <c r="J357" i="2" s="1"/>
  <c r="E357" i="2"/>
  <c r="D358" i="2"/>
  <c r="B358" i="2"/>
  <c r="J358" i="2" s="1"/>
  <c r="B359" i="2"/>
  <c r="J359" i="2" s="1"/>
  <c r="E359" i="2"/>
  <c r="D359" i="2"/>
  <c r="B360" i="2"/>
  <c r="J360" i="2" s="1"/>
  <c r="E360" i="2"/>
  <c r="B361" i="2"/>
  <c r="J361" i="2" s="1"/>
  <c r="D361" i="2"/>
  <c r="D362" i="2"/>
  <c r="B362" i="2"/>
  <c r="J362" i="2" s="1"/>
  <c r="B363" i="2"/>
  <c r="J363" i="2" s="1"/>
  <c r="D363" i="2"/>
  <c r="B364" i="2"/>
  <c r="J364" i="2" s="1"/>
  <c r="D364" i="2"/>
  <c r="D365" i="2"/>
  <c r="B365" i="2"/>
  <c r="J365" i="2"/>
  <c r="D366" i="2"/>
  <c r="B366" i="2"/>
  <c r="J366" i="2" s="1"/>
  <c r="B367" i="2"/>
  <c r="J367" i="2" s="1"/>
  <c r="D367" i="2"/>
  <c r="D368" i="2"/>
  <c r="B368" i="2"/>
  <c r="J368" i="2" s="1"/>
  <c r="E368" i="2"/>
  <c r="B369" i="2"/>
  <c r="J369" i="2" s="1"/>
  <c r="E369" i="2"/>
  <c r="D370" i="2"/>
  <c r="B370" i="2"/>
  <c r="J370" i="2" s="1"/>
  <c r="E370" i="2"/>
  <c r="B371" i="2"/>
  <c r="J371" i="2" s="1"/>
  <c r="D371" i="2"/>
  <c r="B372" i="2"/>
  <c r="J372" i="2" s="1"/>
  <c r="E372" i="2"/>
  <c r="D372" i="2"/>
  <c r="D373" i="2"/>
  <c r="B373" i="2"/>
  <c r="J373" i="2" s="1"/>
  <c r="E373" i="2"/>
  <c r="D374" i="2"/>
  <c r="B374" i="2"/>
  <c r="J374" i="2" s="1"/>
  <c r="E374" i="2"/>
  <c r="B375" i="2"/>
  <c r="J375" i="2" s="1"/>
  <c r="E375" i="2"/>
  <c r="D375" i="2"/>
  <c r="D376" i="2"/>
  <c r="B376" i="2"/>
  <c r="J376" i="2" s="1"/>
  <c r="E376" i="2"/>
  <c r="B377" i="2"/>
  <c r="J377" i="2" s="1"/>
  <c r="E377" i="2"/>
  <c r="D377" i="2"/>
  <c r="D378" i="2"/>
  <c r="B378" i="2"/>
  <c r="J378" i="2" s="1"/>
  <c r="E378" i="2"/>
  <c r="B379" i="2"/>
  <c r="J379" i="2" s="1"/>
  <c r="D379" i="2"/>
  <c r="B380" i="2"/>
  <c r="D380" i="2"/>
  <c r="J380" i="2"/>
  <c r="D381" i="2"/>
  <c r="B381" i="2"/>
  <c r="J381" i="2" s="1"/>
  <c r="D382" i="2"/>
  <c r="B382" i="2"/>
  <c r="J382" i="2" s="1"/>
  <c r="E382" i="2"/>
  <c r="B383" i="2"/>
  <c r="J383" i="2" s="1"/>
  <c r="E383" i="2"/>
  <c r="D383" i="2"/>
  <c r="D384" i="2"/>
  <c r="B384" i="2"/>
  <c r="J384" i="2" s="1"/>
  <c r="E384" i="2"/>
  <c r="B385" i="2"/>
  <c r="J385" i="2" s="1"/>
  <c r="D385" i="2"/>
  <c r="B386" i="2"/>
  <c r="E386" i="2"/>
  <c r="J386" i="2"/>
  <c r="B387" i="2"/>
  <c r="J387" i="2" s="1"/>
  <c r="D387" i="2"/>
  <c r="B388" i="2"/>
  <c r="J388" i="2" s="1"/>
  <c r="E388" i="2"/>
  <c r="D388" i="2"/>
  <c r="D389" i="2"/>
  <c r="B389" i="2"/>
  <c r="J389" i="2" s="1"/>
  <c r="E389" i="2"/>
  <c r="D390" i="2"/>
  <c r="B390" i="2"/>
  <c r="J390" i="2" s="1"/>
  <c r="E390" i="2"/>
  <c r="B391" i="2"/>
  <c r="J391" i="2" s="1"/>
  <c r="E391" i="2"/>
  <c r="D391" i="2"/>
  <c r="D392" i="2"/>
  <c r="B392" i="2"/>
  <c r="J392" i="2" s="1"/>
  <c r="E392" i="2"/>
  <c r="B393" i="2"/>
  <c r="J393" i="2" s="1"/>
  <c r="E393" i="2"/>
  <c r="D393" i="2"/>
  <c r="D394" i="2"/>
  <c r="B394" i="2"/>
  <c r="J394" i="2" s="1"/>
  <c r="E394" i="2"/>
  <c r="B395" i="2"/>
  <c r="J395" i="2" s="1"/>
  <c r="D395" i="2"/>
  <c r="B396" i="2"/>
  <c r="J396" i="2" s="1"/>
  <c r="D396" i="2"/>
  <c r="D397" i="2"/>
  <c r="B397" i="2"/>
  <c r="J397" i="2"/>
  <c r="D398" i="2"/>
  <c r="B398" i="2"/>
  <c r="J398" i="2" s="1"/>
  <c r="B399" i="2"/>
  <c r="J399" i="2" s="1"/>
  <c r="E399" i="2"/>
  <c r="D399" i="2"/>
  <c r="D400" i="2"/>
  <c r="B400" i="2"/>
  <c r="J400" i="2" s="1"/>
  <c r="E400" i="2"/>
  <c r="B401" i="2"/>
  <c r="J401" i="2" s="1"/>
  <c r="D401" i="2"/>
  <c r="D402" i="2"/>
  <c r="B402" i="2"/>
  <c r="J402" i="2" s="1"/>
  <c r="E402" i="2"/>
  <c r="B403" i="2"/>
  <c r="J403" i="2" s="1"/>
  <c r="D403" i="2"/>
  <c r="B404" i="2"/>
  <c r="E404" i="2"/>
  <c r="D404" i="2"/>
  <c r="J404" i="2"/>
  <c r="D405" i="2"/>
  <c r="B405" i="2"/>
  <c r="J405" i="2" s="1"/>
  <c r="E405" i="2"/>
  <c r="D406" i="2"/>
  <c r="B406" i="2"/>
  <c r="J406" i="2" s="1"/>
  <c r="E406" i="2"/>
  <c r="B407" i="2"/>
  <c r="J407" i="2" s="1"/>
  <c r="D407" i="2"/>
  <c r="D408" i="2"/>
  <c r="B408" i="2"/>
  <c r="J408" i="2" s="1"/>
  <c r="E408" i="2"/>
  <c r="B409" i="2"/>
  <c r="J409" i="2" s="1"/>
  <c r="E409" i="2"/>
  <c r="D410" i="2"/>
  <c r="B410" i="2"/>
  <c r="E410" i="2"/>
  <c r="J410" i="2"/>
  <c r="B411" i="2"/>
  <c r="J411" i="2" s="1"/>
  <c r="D411" i="2"/>
  <c r="B4" i="2"/>
  <c r="J4" i="2" s="1"/>
  <c r="E4" i="2"/>
  <c r="B5" i="2"/>
  <c r="J5" i="2" s="1"/>
  <c r="E5" i="2"/>
  <c r="D5" i="2"/>
  <c r="B6" i="2"/>
  <c r="J6" i="2" s="1"/>
  <c r="B7" i="2"/>
  <c r="J7" i="2" s="1"/>
  <c r="E7" i="2"/>
  <c r="B8" i="2"/>
  <c r="J8" i="2" s="1"/>
  <c r="E8" i="2"/>
  <c r="D8" i="2"/>
  <c r="B9" i="2"/>
  <c r="J9" i="2" s="1"/>
  <c r="D9" i="2"/>
  <c r="B10" i="2"/>
  <c r="J10" i="2" s="1"/>
  <c r="E10" i="2"/>
  <c r="D11" i="2"/>
  <c r="B11" i="2"/>
  <c r="J11" i="2" s="1"/>
  <c r="B12" i="2"/>
  <c r="J12" i="2" s="1"/>
  <c r="B13" i="2"/>
  <c r="J13" i="2" s="1"/>
  <c r="B14" i="2"/>
  <c r="J14" i="2" s="1"/>
  <c r="B30" i="2"/>
  <c r="J30" i="2" s="1"/>
  <c r="B3" i="2"/>
  <c r="J3" i="2" s="1"/>
  <c r="B2" i="2"/>
  <c r="J2" i="2" s="1"/>
  <c r="D3" i="2"/>
  <c r="C1" i="2"/>
  <c r="B1" i="2"/>
  <c r="A1" i="2"/>
  <c r="D178" i="2" l="1"/>
  <c r="D337" i="2"/>
  <c r="D354" i="2"/>
  <c r="E30" i="2"/>
  <c r="E41" i="2"/>
  <c r="F38" i="2"/>
  <c r="F6" i="2"/>
  <c r="E46" i="2"/>
  <c r="I46" i="2" s="1"/>
  <c r="F19" i="2"/>
  <c r="E25" i="2"/>
  <c r="I25" i="2" s="1"/>
  <c r="F50" i="2"/>
  <c r="F17" i="2"/>
  <c r="K18" i="2"/>
  <c r="F44" i="2"/>
  <c r="F28" i="2"/>
  <c r="E9" i="2"/>
  <c r="K43" i="2"/>
  <c r="H2" i="2"/>
  <c r="E15" i="2"/>
  <c r="E364" i="2"/>
  <c r="E124" i="2"/>
  <c r="E284" i="2"/>
  <c r="I110" i="2"/>
  <c r="E12" i="2"/>
  <c r="E236" i="2"/>
  <c r="E188" i="2"/>
  <c r="E252" i="2"/>
  <c r="E76" i="2"/>
  <c r="E285" i="2"/>
  <c r="E221" i="2"/>
  <c r="E141" i="2"/>
  <c r="E77" i="2"/>
  <c r="I151" i="2"/>
  <c r="E29" i="2"/>
  <c r="E157" i="2"/>
  <c r="E237" i="2"/>
  <c r="E93" i="2"/>
  <c r="E301" i="2"/>
  <c r="E173" i="2"/>
  <c r="E253" i="2"/>
  <c r="E365" i="2"/>
  <c r="E61" i="2"/>
  <c r="E189" i="2"/>
  <c r="E317" i="2"/>
  <c r="E109" i="2"/>
  <c r="E397" i="2"/>
  <c r="Q3" i="2"/>
  <c r="E14" i="2"/>
  <c r="Q23" i="2"/>
  <c r="Q22" i="2"/>
  <c r="E26" i="2"/>
  <c r="Q17" i="2"/>
  <c r="I383" i="2"/>
  <c r="I367" i="2"/>
  <c r="I351" i="2"/>
  <c r="I159" i="2"/>
  <c r="I45" i="2"/>
  <c r="Q13" i="2"/>
  <c r="I166" i="2"/>
  <c r="I134" i="2"/>
  <c r="I86" i="2"/>
  <c r="I380" i="2"/>
  <c r="I123" i="2"/>
  <c r="I91" i="2"/>
  <c r="I59" i="2"/>
  <c r="Q27" i="2"/>
  <c r="Q11" i="2"/>
  <c r="I404" i="2"/>
  <c r="I372" i="2"/>
  <c r="I378" i="2"/>
  <c r="I330" i="2"/>
  <c r="I282" i="2"/>
  <c r="I234" i="2"/>
  <c r="I265" i="2"/>
  <c r="I233" i="2"/>
  <c r="I185" i="2"/>
  <c r="I57" i="2"/>
  <c r="Q25" i="2"/>
  <c r="I386" i="2"/>
  <c r="E49" i="2"/>
  <c r="I94" i="2"/>
  <c r="G2" i="2"/>
  <c r="Q2" i="2" s="1"/>
  <c r="K23" i="2"/>
  <c r="K5" i="2"/>
  <c r="K21" i="2"/>
  <c r="D24" i="2"/>
  <c r="K24" i="2" s="1"/>
  <c r="E17" i="2"/>
  <c r="I17" i="2" s="1"/>
  <c r="K15" i="2"/>
  <c r="E22" i="2"/>
  <c r="D20" i="2"/>
  <c r="K20" i="2" s="1"/>
  <c r="E27" i="2"/>
  <c r="K27" i="2"/>
  <c r="K48" i="2"/>
  <c r="K49" i="2"/>
  <c r="E287" i="2"/>
  <c r="E271" i="2"/>
  <c r="D17" i="2"/>
  <c r="K17" i="2" s="1"/>
  <c r="K82" i="2"/>
  <c r="E256" i="2"/>
  <c r="E127" i="2"/>
  <c r="E255" i="2"/>
  <c r="E112" i="2"/>
  <c r="K338" i="2"/>
  <c r="E111" i="2"/>
  <c r="K19" i="2"/>
  <c r="D242" i="2"/>
  <c r="E239" i="2"/>
  <c r="E96" i="2"/>
  <c r="K16" i="2"/>
  <c r="E81" i="2"/>
  <c r="K29" i="2"/>
  <c r="K50" i="2"/>
  <c r="E223" i="2"/>
  <c r="K210" i="2"/>
  <c r="E367" i="2"/>
  <c r="E63" i="2"/>
  <c r="I63" i="2" s="1"/>
  <c r="K328" i="2"/>
  <c r="E351" i="2"/>
  <c r="E336" i="2"/>
  <c r="D386" i="2"/>
  <c r="E175" i="2"/>
  <c r="E160" i="2"/>
  <c r="D88" i="2"/>
  <c r="D73" i="2"/>
  <c r="K329" i="2"/>
  <c r="K153" i="2"/>
  <c r="K56" i="2"/>
  <c r="E353" i="2"/>
  <c r="E337" i="2"/>
  <c r="I337" i="2" s="1"/>
  <c r="E273" i="2"/>
  <c r="E241" i="2"/>
  <c r="E193" i="2"/>
  <c r="E177" i="2"/>
  <c r="E145" i="2"/>
  <c r="E320" i="2"/>
  <c r="D121" i="2"/>
  <c r="K345" i="2"/>
  <c r="E207" i="2"/>
  <c r="D296" i="2"/>
  <c r="D57" i="2"/>
  <c r="K344" i="2"/>
  <c r="K169" i="2"/>
  <c r="K72" i="2"/>
  <c r="E398" i="2"/>
  <c r="E366" i="2"/>
  <c r="E350" i="2"/>
  <c r="I350" i="2" s="1"/>
  <c r="E334" i="2"/>
  <c r="I334" i="2" s="1"/>
  <c r="E286" i="2"/>
  <c r="E254" i="2"/>
  <c r="E190" i="2"/>
  <c r="E142" i="2"/>
  <c r="E126" i="2"/>
  <c r="E94" i="2"/>
  <c r="E62" i="2"/>
  <c r="K3" i="2"/>
  <c r="K10" i="2"/>
  <c r="D265" i="2"/>
  <c r="K168" i="2"/>
  <c r="K89" i="2"/>
  <c r="K264" i="2"/>
  <c r="E2" i="2"/>
  <c r="E396" i="2"/>
  <c r="E348" i="2"/>
  <c r="E332" i="2"/>
  <c r="E316" i="2"/>
  <c r="E300" i="2"/>
  <c r="E172" i="2"/>
  <c r="E156" i="2"/>
  <c r="E92" i="2"/>
  <c r="E60" i="2"/>
  <c r="D409" i="2"/>
  <c r="D360" i="2"/>
  <c r="D120" i="2"/>
  <c r="D105" i="2"/>
  <c r="K185" i="2"/>
  <c r="E411" i="2"/>
  <c r="E395" i="2"/>
  <c r="E379" i="2"/>
  <c r="E363" i="2"/>
  <c r="E347" i="2"/>
  <c r="E315" i="2"/>
  <c r="E251" i="2"/>
  <c r="E235" i="2"/>
  <c r="E107" i="2"/>
  <c r="E75" i="2"/>
  <c r="E3" i="2"/>
  <c r="I318" i="2"/>
  <c r="K281" i="2"/>
  <c r="K184" i="2"/>
  <c r="E362" i="2"/>
  <c r="E250" i="2"/>
  <c r="E186" i="2"/>
  <c r="K104" i="2"/>
  <c r="E361" i="2"/>
  <c r="E345" i="2"/>
  <c r="E329" i="2"/>
  <c r="E313" i="2"/>
  <c r="I313" i="2" s="1"/>
  <c r="E153" i="2"/>
  <c r="E137" i="2"/>
  <c r="E73" i="2"/>
  <c r="D233" i="2"/>
  <c r="D217" i="2"/>
  <c r="I78" i="2"/>
  <c r="K201" i="2"/>
  <c r="E200" i="2"/>
  <c r="E152" i="2"/>
  <c r="E88" i="2"/>
  <c r="I88" i="2" s="1"/>
  <c r="K297" i="2"/>
  <c r="K200" i="2"/>
  <c r="E407" i="2"/>
  <c r="E343" i="2"/>
  <c r="I343" i="2" s="1"/>
  <c r="E199" i="2"/>
  <c r="E183" i="2"/>
  <c r="I183" i="2" s="1"/>
  <c r="E167" i="2"/>
  <c r="E358" i="2"/>
  <c r="E246" i="2"/>
  <c r="E70" i="2"/>
  <c r="D232" i="2"/>
  <c r="K216" i="2"/>
  <c r="E197" i="2"/>
  <c r="E13" i="2"/>
  <c r="D313" i="2"/>
  <c r="D137" i="2"/>
  <c r="E324" i="2"/>
  <c r="I324" i="2" s="1"/>
  <c r="E308" i="2"/>
  <c r="E100" i="2"/>
  <c r="I100" i="2" s="1"/>
  <c r="E403" i="2"/>
  <c r="E387" i="2"/>
  <c r="E371" i="2"/>
  <c r="E355" i="2"/>
  <c r="E323" i="2"/>
  <c r="I323" i="2" s="1"/>
  <c r="E307" i="2"/>
  <c r="I307" i="2" s="1"/>
  <c r="E11" i="2"/>
  <c r="E194" i="2"/>
  <c r="E178" i="2"/>
  <c r="K30" i="2"/>
  <c r="I346" i="2"/>
  <c r="I142" i="2"/>
  <c r="I306" i="2"/>
  <c r="I52" i="2"/>
  <c r="K8" i="2"/>
  <c r="K2" i="2"/>
  <c r="K194" i="2"/>
  <c r="K66" i="2"/>
  <c r="K226" i="2"/>
  <c r="K98" i="2"/>
  <c r="D274" i="2"/>
  <c r="D130" i="2"/>
  <c r="D146" i="2"/>
  <c r="K258" i="2"/>
  <c r="D306" i="2"/>
  <c r="D162" i="2"/>
  <c r="K290" i="2"/>
  <c r="K369" i="2"/>
  <c r="D304" i="2"/>
  <c r="D273" i="2"/>
  <c r="D161" i="2"/>
  <c r="D65" i="2"/>
  <c r="D353" i="2"/>
  <c r="D321" i="2"/>
  <c r="D257" i="2"/>
  <c r="D225" i="2"/>
  <c r="D160" i="2"/>
  <c r="D97" i="2"/>
  <c r="D289" i="2"/>
  <c r="D256" i="2"/>
  <c r="D177" i="2"/>
  <c r="D288" i="2"/>
  <c r="D64" i="2"/>
  <c r="D96" i="2"/>
  <c r="D224" i="2"/>
  <c r="D176" i="2"/>
  <c r="D209" i="2"/>
  <c r="D193" i="2"/>
  <c r="D113" i="2"/>
  <c r="D81" i="2"/>
  <c r="D241" i="2"/>
  <c r="D305" i="2"/>
  <c r="D129" i="2"/>
  <c r="K145" i="2"/>
  <c r="D240" i="2"/>
  <c r="D208" i="2"/>
  <c r="D112" i="2"/>
  <c r="K192" i="2"/>
  <c r="K80" i="2"/>
  <c r="K9" i="2"/>
  <c r="K41" i="2"/>
  <c r="K34" i="2"/>
  <c r="D37" i="2"/>
  <c r="K37" i="2" s="1"/>
  <c r="K33" i="2"/>
  <c r="K32" i="2"/>
  <c r="K31" i="2"/>
  <c r="K14" i="2"/>
  <c r="K13" i="2"/>
  <c r="K12" i="2"/>
  <c r="K11" i="2"/>
  <c r="D36" i="2"/>
  <c r="K36" i="2" s="1"/>
  <c r="K42" i="2"/>
  <c r="K40" i="2"/>
  <c r="K39" i="2"/>
  <c r="K7" i="2"/>
  <c r="K38" i="2"/>
  <c r="K6" i="2"/>
  <c r="D35" i="2"/>
  <c r="K35" i="2" s="1"/>
  <c r="K4" i="2"/>
  <c r="I382" i="2"/>
  <c r="I342" i="2"/>
  <c r="I242" i="2"/>
  <c r="I258" i="2"/>
  <c r="I190" i="2"/>
  <c r="I319" i="2"/>
  <c r="I302" i="2"/>
  <c r="I116" i="2"/>
  <c r="I99" i="2"/>
  <c r="I206" i="2"/>
  <c r="I196" i="2"/>
  <c r="I67" i="2"/>
  <c r="I126" i="2"/>
  <c r="I119" i="2"/>
  <c r="I79" i="2"/>
  <c r="I55" i="2"/>
  <c r="I64" i="2"/>
  <c r="I28" i="2" l="1"/>
  <c r="I44" i="2"/>
  <c r="I81" i="2"/>
  <c r="I49" i="2"/>
  <c r="I156" i="2"/>
  <c r="I145" i="2"/>
  <c r="I332" i="2"/>
  <c r="I75" i="2"/>
  <c r="I186" i="2"/>
  <c r="I250" i="2"/>
  <c r="I153" i="2"/>
  <c r="I13" i="2"/>
  <c r="I107" i="2"/>
  <c r="I235" i="2"/>
  <c r="I251" i="2"/>
  <c r="I300" i="2"/>
  <c r="I358" i="2"/>
  <c r="I177" i="2"/>
  <c r="I406" i="2"/>
  <c r="I71" i="2"/>
  <c r="I314" i="2"/>
  <c r="I32" i="2"/>
  <c r="I131" i="2"/>
  <c r="I136" i="2"/>
  <c r="I266" i="2"/>
  <c r="Q16" i="2"/>
  <c r="Q19" i="2"/>
  <c r="I303" i="2"/>
  <c r="I97" i="2"/>
  <c r="I340" i="2"/>
  <c r="I290" i="2"/>
  <c r="I83" i="2"/>
  <c r="I248" i="2"/>
  <c r="I127" i="2"/>
  <c r="I228" i="2"/>
  <c r="Q12" i="2"/>
  <c r="I263" i="2"/>
  <c r="I143" i="2"/>
  <c r="Q21" i="2"/>
  <c r="I215" i="2"/>
  <c r="I394" i="2"/>
  <c r="I65" i="2"/>
  <c r="I36" i="2"/>
  <c r="I35" i="2"/>
  <c r="I141" i="2"/>
  <c r="I179" i="2"/>
  <c r="I231" i="2"/>
  <c r="I108" i="2"/>
  <c r="Q10" i="2"/>
  <c r="I276" i="2"/>
  <c r="I72" i="2"/>
  <c r="I249" i="2"/>
  <c r="I280" i="2"/>
  <c r="Q26" i="2"/>
  <c r="I188" i="2"/>
  <c r="I377" i="2"/>
  <c r="I370" i="2"/>
  <c r="I375" i="2"/>
  <c r="I120" i="2"/>
  <c r="I104" i="2"/>
  <c r="I54" i="2"/>
  <c r="I226" i="2"/>
  <c r="I95" i="2"/>
  <c r="I187" i="2"/>
  <c r="Q9" i="2"/>
  <c r="I197" i="2"/>
  <c r="I218" i="2"/>
  <c r="Q24" i="2"/>
  <c r="I38" i="2"/>
  <c r="Q7" i="2"/>
  <c r="I389" i="2"/>
  <c r="Q14" i="2"/>
  <c r="I60" i="2"/>
  <c r="I139" i="2"/>
  <c r="I278" i="2"/>
  <c r="I232" i="2"/>
  <c r="I331" i="2"/>
  <c r="I224" i="2"/>
  <c r="Q18" i="2"/>
  <c r="I209" i="2"/>
  <c r="I359" i="2"/>
  <c r="I40" i="2"/>
  <c r="I257" i="2"/>
  <c r="Q15" i="2"/>
  <c r="Q4" i="2"/>
  <c r="I277" i="2"/>
  <c r="I405" i="2"/>
  <c r="I391" i="2"/>
  <c r="I294" i="2"/>
  <c r="I23" i="2"/>
  <c r="I160" i="2"/>
  <c r="I347" i="2"/>
  <c r="I62" i="2"/>
  <c r="I22" i="2"/>
  <c r="I247" i="2"/>
  <c r="I362" i="2"/>
  <c r="I286" i="2"/>
  <c r="I27" i="2"/>
  <c r="I296" i="2"/>
  <c r="I175" i="2"/>
  <c r="I273" i="2"/>
  <c r="I112" i="2"/>
  <c r="I214" i="2"/>
  <c r="I241" i="2"/>
  <c r="I329" i="2"/>
  <c r="I3" i="2"/>
  <c r="I200" i="2"/>
  <c r="I68" i="2"/>
  <c r="I216" i="2"/>
  <c r="I348" i="2"/>
  <c r="I320" i="2"/>
  <c r="I137" i="2"/>
  <c r="I256" i="2"/>
  <c r="I39" i="2"/>
  <c r="I366" i="2"/>
  <c r="I194" i="2"/>
  <c r="I222" i="2"/>
  <c r="I73" i="2"/>
  <c r="I398" i="2"/>
  <c r="I178" i="2"/>
  <c r="I396" i="2"/>
  <c r="I371" i="2"/>
  <c r="I96" i="2"/>
  <c r="I271" i="2"/>
  <c r="I208" i="2"/>
  <c r="I155" i="2"/>
  <c r="I207" i="2"/>
  <c r="I199" i="2"/>
  <c r="I355" i="2"/>
  <c r="I167" i="2"/>
  <c r="I240" i="2"/>
  <c r="I353" i="2"/>
  <c r="I150" i="2"/>
  <c r="I407" i="2"/>
  <c r="I70" i="2"/>
  <c r="I336" i="2"/>
  <c r="I316" i="2"/>
  <c r="I2" i="2"/>
  <c r="I128" i="2"/>
  <c r="I238" i="2"/>
  <c r="I193" i="2"/>
  <c r="I103" i="2"/>
  <c r="I152" i="2"/>
  <c r="I111" i="2"/>
  <c r="I272" i="2"/>
  <c r="I288" i="2"/>
  <c r="I184" i="2"/>
  <c r="I279" i="2"/>
  <c r="I172" i="2"/>
  <c r="I11" i="2"/>
  <c r="I361" i="2"/>
  <c r="I312" i="2"/>
  <c r="I363" i="2"/>
  <c r="I379" i="2"/>
  <c r="I287" i="2"/>
  <c r="I387" i="2"/>
  <c r="I315" i="2"/>
  <c r="I395" i="2"/>
  <c r="I246" i="2"/>
  <c r="I239" i="2"/>
  <c r="I403" i="2"/>
  <c r="I223" i="2"/>
  <c r="I255" i="2"/>
  <c r="I345" i="2"/>
  <c r="I411" i="2"/>
  <c r="I308" i="2"/>
  <c r="I254" i="2"/>
  <c r="I5" i="2" l="1"/>
  <c r="Q5" i="2"/>
  <c r="I8" i="2"/>
  <c r="Q8" i="2"/>
  <c r="I6" i="2"/>
  <c r="Q6" i="2"/>
  <c r="I20" i="2"/>
  <c r="Q20" i="2"/>
  <c r="I18" i="2"/>
  <c r="I274" i="2"/>
  <c r="I163" i="2"/>
  <c r="I201" i="2"/>
  <c r="I16" i="2"/>
  <c r="I322" i="2"/>
  <c r="I147" i="2"/>
  <c r="I89" i="2"/>
  <c r="I174" i="2"/>
  <c r="I299" i="2"/>
  <c r="I105" i="2"/>
  <c r="I335" i="2"/>
  <c r="I117" i="2"/>
  <c r="I124" i="2"/>
  <c r="I169" i="2"/>
  <c r="I135" i="2"/>
  <c r="I397" i="2"/>
  <c r="I140" i="2"/>
  <c r="I191" i="2"/>
  <c r="I113" i="2"/>
  <c r="I56" i="2"/>
  <c r="I202" i="2"/>
  <c r="I281" i="2"/>
  <c r="I84" i="2"/>
  <c r="I364" i="2"/>
  <c r="I327" i="2"/>
  <c r="I390" i="2"/>
  <c r="I148" i="2"/>
  <c r="I326" i="2"/>
  <c r="I289" i="2"/>
  <c r="I24" i="2"/>
  <c r="I80" i="2"/>
  <c r="I374" i="2"/>
  <c r="I161" i="2"/>
  <c r="I264" i="2"/>
  <c r="I388" i="2"/>
  <c r="I118" i="2"/>
  <c r="I259" i="2"/>
  <c r="I338" i="2"/>
  <c r="I132" i="2"/>
  <c r="I121" i="2"/>
  <c r="I158" i="2"/>
  <c r="I311" i="2"/>
  <c r="I87" i="2"/>
  <c r="I217" i="2"/>
  <c r="I267" i="2"/>
  <c r="I225" i="2"/>
  <c r="I164" i="2"/>
  <c r="I356" i="2"/>
  <c r="I19" i="2"/>
  <c r="I15" i="2"/>
  <c r="I21" i="2"/>
  <c r="I293" i="2"/>
  <c r="I29" i="2"/>
  <c r="I51" i="2"/>
  <c r="I48" i="2"/>
  <c r="I297" i="2"/>
  <c r="I50" i="2"/>
  <c r="I399" i="2"/>
  <c r="I26" i="2"/>
  <c r="I285" i="2"/>
  <c r="I180" i="2"/>
  <c r="I47" i="2"/>
  <c r="I253" i="2"/>
  <c r="I298" i="2"/>
  <c r="I43" i="2"/>
  <c r="I275" i="2"/>
  <c r="I385" i="2"/>
  <c r="I354" i="2"/>
  <c r="I237" i="2"/>
  <c r="I195" i="2"/>
  <c r="I317" i="2"/>
  <c r="I69" i="2"/>
  <c r="I301" i="2"/>
  <c r="I333" i="2"/>
  <c r="I284" i="2"/>
  <c r="I92" i="2"/>
  <c r="I261" i="2"/>
  <c r="I173" i="2"/>
  <c r="I168" i="2"/>
  <c r="I192" i="2"/>
  <c r="I165" i="2"/>
  <c r="I115" i="2"/>
  <c r="I205" i="2"/>
  <c r="I229" i="2"/>
  <c r="I102" i="2"/>
  <c r="I182" i="2"/>
  <c r="I76" i="2"/>
  <c r="I125" i="2"/>
  <c r="I410" i="2"/>
  <c r="I85" i="2"/>
  <c r="I210" i="2"/>
  <c r="I109" i="2"/>
  <c r="I189" i="2"/>
  <c r="I129" i="2"/>
  <c r="I243" i="2"/>
  <c r="I402" i="2"/>
  <c r="I292" i="2"/>
  <c r="I53" i="2"/>
  <c r="I211" i="2"/>
  <c r="I171" i="2"/>
  <c r="I101" i="2"/>
  <c r="I149" i="2"/>
  <c r="I221" i="2"/>
  <c r="I212" i="2"/>
  <c r="I157" i="2"/>
  <c r="I220" i="2"/>
  <c r="I360" i="2"/>
  <c r="I400" i="2"/>
  <c r="I268" i="2"/>
  <c r="I122" i="2"/>
  <c r="I305" i="2"/>
  <c r="I133" i="2"/>
  <c r="I77" i="2"/>
  <c r="I14" i="2"/>
  <c r="I245" i="2"/>
  <c r="I309" i="2"/>
  <c r="I93" i="2"/>
  <c r="I325" i="2"/>
  <c r="I61" i="2"/>
  <c r="I176" i="2"/>
  <c r="I269" i="2"/>
  <c r="I181" i="2"/>
  <c r="I144" i="2"/>
  <c r="I213" i="2"/>
  <c r="I369" i="2"/>
  <c r="I12" i="2"/>
  <c r="I42" i="2"/>
  <c r="I30" i="2"/>
  <c r="I9" i="2"/>
  <c r="I33" i="2"/>
  <c r="I37" i="2"/>
  <c r="I41" i="2"/>
  <c r="I295" i="2"/>
  <c r="I352" i="2"/>
  <c r="I408" i="2"/>
  <c r="I409" i="2"/>
  <c r="I236" i="2"/>
  <c r="I106" i="2"/>
  <c r="I368" i="2"/>
  <c r="I341" i="2"/>
  <c r="I401" i="2"/>
  <c r="I244" i="2"/>
  <c r="I365" i="2"/>
  <c r="I310" i="2"/>
  <c r="I344" i="2"/>
  <c r="I373" i="2"/>
  <c r="I31" i="2"/>
  <c r="I130" i="2"/>
  <c r="I58" i="2"/>
  <c r="I291" i="2"/>
  <c r="I283" i="2"/>
  <c r="I138" i="2"/>
  <c r="I393" i="2"/>
  <c r="I82" i="2"/>
  <c r="I203" i="2"/>
  <c r="I34" i="2"/>
  <c r="I349" i="2"/>
  <c r="I392" i="2"/>
  <c r="I204" i="2"/>
  <c r="I162" i="2"/>
  <c r="I260" i="2"/>
  <c r="I384" i="2"/>
  <c r="I74" i="2"/>
  <c r="I304" i="2"/>
  <c r="I339" i="2"/>
  <c r="I357" i="2"/>
  <c r="I230" i="2"/>
  <c r="I170" i="2"/>
  <c r="I376" i="2"/>
  <c r="I381" i="2"/>
  <c r="I328" i="2"/>
  <c r="I252" i="2"/>
  <c r="I154" i="2"/>
  <c r="I270" i="2"/>
  <c r="I98" i="2"/>
  <c r="I227" i="2"/>
  <c r="I146" i="2"/>
  <c r="I321" i="2"/>
  <c r="I262" i="2"/>
  <c r="I198" i="2"/>
  <c r="I90" i="2"/>
  <c r="I114" i="2"/>
  <c r="I219" i="2"/>
  <c r="I66" i="2"/>
  <c r="I7" i="2"/>
  <c r="I4" i="2"/>
  <c r="I10" i="2"/>
</calcChain>
</file>

<file path=xl/sharedStrings.xml><?xml version="1.0" encoding="utf-8"?>
<sst xmlns="http://schemas.openxmlformats.org/spreadsheetml/2006/main" count="28" uniqueCount="28">
  <si>
    <t>CONFIRMADO?</t>
  </si>
  <si>
    <t>HORA</t>
  </si>
  <si>
    <t>BENEFICIARIO</t>
  </si>
  <si>
    <t>TELEFONE</t>
  </si>
  <si>
    <t>OLHO</t>
  </si>
  <si>
    <t>LENTE</t>
  </si>
  <si>
    <t>DIOPTRIA</t>
  </si>
  <si>
    <t>OBSERVAÇÃO LENTE</t>
  </si>
  <si>
    <t>OBSERVAÇÃO CLINICA</t>
  </si>
  <si>
    <t>SENHA</t>
  </si>
  <si>
    <t>DATA DE NASCIMENTO</t>
  </si>
  <si>
    <t>CPF</t>
  </si>
  <si>
    <t xml:space="preserve">CARTEIRINHA </t>
  </si>
  <si>
    <t>CIDADE DO PACIENTE</t>
  </si>
  <si>
    <t>CONVÊNIO</t>
  </si>
  <si>
    <t>PROCEDIMENTO</t>
  </si>
  <si>
    <t>MEDICO</t>
  </si>
  <si>
    <t>DE</t>
  </si>
  <si>
    <t>PARA</t>
  </si>
  <si>
    <t>HORÁRIO AJUSTADO</t>
  </si>
  <si>
    <t>DDD</t>
  </si>
  <si>
    <t>NUMERO_SEM_DDD</t>
  </si>
  <si>
    <t>PREFIXO</t>
  </si>
  <si>
    <t>SUFIXO</t>
  </si>
  <si>
    <t>TEL_AJUSTADO</t>
  </si>
  <si>
    <t>PRIMEIRO NOME</t>
  </si>
  <si>
    <t>TEXTO MENSAGEM</t>
  </si>
  <si>
    <t>MÁXIMO DE PACIENTES POSSÍVEIS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</si>
</sst>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h:mm;@"/>
    <numFmt numFmtId="165" formatCode="d\.m"/>
  </numFmts>
  <fonts count="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FFFFFF"/>
      <name val="Calibri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ptos Narrow"/>
      <family val="2"/>
      <scheme val="minor"/>
    </font>
    <font>
      <b/>
      <sz val="23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rgb="FF1E1E1E"/>
      <name val="Inter"/>
    </font>
    <font>
      <b/>
      <sz val="12"/>
      <color rgb="FF000000"/>
      <name val="Aptos Narrow"/>
      <family val="2"/>
      <scheme val="minor"/>
    </font>
    <font>
      <b/>
      <sz val="12"/>
      <color theme="7"/>
      <name val="Aptos Narrow"/>
      <family val="2"/>
      <scheme val="minor"/>
    </font>
    <font>
      <b/>
      <sz val="1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0" fontId="4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20" fontId="0" fillId="0" borderId="0" xfId="0" applyNumberFormat="1"/>
    <xf numFmtId="0" fontId="0" fillId="4" borderId="5" xfId="0" applyFill="1" applyBorder="1"/>
    <xf numFmtId="0" fontId="0" fillId="0" borderId="5" xfId="0" applyBorder="1"/>
    <xf numFmtId="164" fontId="0" fillId="0" borderId="5" xfId="0" applyNumberFormat="1" applyBorder="1"/>
    <xf numFmtId="164" fontId="0" fillId="4" borderId="5" xfId="0" applyNumberFormat="1" applyFill="1" applyBorder="1"/>
    <xf numFmtId="0" fontId="1" fillId="5" borderId="5" xfId="0" applyFont="1" applyFill="1" applyBorder="1"/>
    <xf numFmtId="0" fontId="0" fillId="6" borderId="5" xfId="0" applyFill="1" applyBorder="1"/>
    <xf numFmtId="0" fontId="0" fillId="6" borderId="0" xfId="0" applyFill="1"/>
    <xf numFmtId="0" fontId="10" fillId="3" borderId="1" xfId="0" applyFont="1" applyFill="1" applyBorder="1" applyAlignment="1">
      <alignment horizontal="center" vertical="center" wrapText="1"/>
    </xf>
    <xf numFmtId="20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14" fontId="10" fillId="3" borderId="1" xfId="0" applyNumberFormat="1" applyFont="1" applyFill="1" applyBorder="1" applyAlignment="1">
      <alignment horizontal="left" vertical="center" wrapText="1"/>
    </xf>
    <xf numFmtId="49" fontId="10" fillId="3" borderId="1" xfId="0" applyNumberFormat="1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5" fontId="14" fillId="3" borderId="1" xfId="0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/>
    </xf>
    <xf numFmtId="20" fontId="11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20" fontId="17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2" fillId="3" borderId="1" xfId="0" applyNumberFormat="1" applyFont="1" applyFill="1" applyBorder="1" applyAlignment="1">
      <alignment horizontal="left" vertical="center" wrapText="1"/>
    </xf>
    <xf numFmtId="49" fontId="12" fillId="3" borderId="1" xfId="0" applyNumberFormat="1" applyFont="1" applyFill="1" applyBorder="1" applyAlignment="1">
      <alignment horizontal="left" vertical="center" wrapText="1"/>
    </xf>
    <xf numFmtId="0" fontId="20" fillId="3" borderId="0" xfId="0" applyFont="1" applyFill="1"/>
    <xf numFmtId="165" fontId="15" fillId="3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6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</dxfs>
  <tableStyles count="32" defaultTableStyle="TableStyleMedium2" defaultPivotStyle="PivotStyleLight16">
    <tableStyle name="22-01 BRENO-style" pivot="0" count="2" xr9:uid="{CBEC7481-958F-4D29-9CA6-51EF61FD1962}">
      <tableStyleElement type="firstRowStripe" dxfId="63"/>
      <tableStyleElement type="secondRowStripe" dxfId="62"/>
    </tableStyle>
    <tableStyle name="22-01 BRENO-style 10" pivot="0" count="2" xr9:uid="{84EAFAA8-8845-4761-BF04-B526727C01C2}">
      <tableStyleElement type="firstRowStripe" dxfId="61"/>
      <tableStyleElement type="secondRowStripe" dxfId="60"/>
    </tableStyle>
    <tableStyle name="22-01 BRENO-style 11" pivot="0" count="2" xr9:uid="{123BEB84-6133-48EA-B7ED-B25E763E8FED}">
      <tableStyleElement type="firstRowStripe" dxfId="59"/>
      <tableStyleElement type="secondRowStripe" dxfId="58"/>
    </tableStyle>
    <tableStyle name="22-01 BRENO-style 12" pivot="0" count="2" xr9:uid="{CEA448B8-337F-4596-BE90-E2683ED5E89B}">
      <tableStyleElement type="firstRowStripe" dxfId="57"/>
      <tableStyleElement type="secondRowStripe" dxfId="56"/>
    </tableStyle>
    <tableStyle name="22-01 BRENO-style 13" pivot="0" count="2" xr9:uid="{472609F1-5776-425C-8346-D38021D4E7FB}">
      <tableStyleElement type="firstRowStripe" dxfId="55"/>
      <tableStyleElement type="secondRowStripe" dxfId="54"/>
    </tableStyle>
    <tableStyle name="22-01 BRENO-style 14" pivot="0" count="2" xr9:uid="{63036060-6B76-430B-88F6-61C799EC750D}">
      <tableStyleElement type="firstRowStripe" dxfId="53"/>
      <tableStyleElement type="secondRowStripe" dxfId="52"/>
    </tableStyle>
    <tableStyle name="22-01 BRENO-style 15" pivot="0" count="2" xr9:uid="{EF95F316-5FD1-4953-A0D9-15D24CE8A283}">
      <tableStyleElement type="firstRowStripe" dxfId="51"/>
      <tableStyleElement type="secondRowStripe" dxfId="50"/>
    </tableStyle>
    <tableStyle name="22-01 BRENO-style 16" pivot="0" count="2" xr9:uid="{2DC1F1F5-EC37-44AB-A44A-057909A36D74}">
      <tableStyleElement type="firstRowStripe" dxfId="49"/>
      <tableStyleElement type="secondRowStripe" dxfId="48"/>
    </tableStyle>
    <tableStyle name="22-01 BRENO-style 17" pivot="0" count="2" xr9:uid="{BEFB7A95-C57D-4380-849B-FD6B619F773E}">
      <tableStyleElement type="firstRowStripe" dxfId="47"/>
      <tableStyleElement type="secondRowStripe" dxfId="46"/>
    </tableStyle>
    <tableStyle name="22-01 BRENO-style 18" pivot="0" count="2" xr9:uid="{80E2CDDB-7610-42E3-8134-D6B232963B89}">
      <tableStyleElement type="firstRowStripe" dxfId="45"/>
      <tableStyleElement type="secondRowStripe" dxfId="44"/>
    </tableStyle>
    <tableStyle name="22-01 BRENO-style 19" pivot="0" count="2" xr9:uid="{074FDF34-952C-4B10-B982-A5C22B17DEB4}">
      <tableStyleElement type="firstRowStripe" dxfId="43"/>
      <tableStyleElement type="secondRowStripe" dxfId="42"/>
    </tableStyle>
    <tableStyle name="22-01 BRENO-style 2" pivot="0" count="2" xr9:uid="{3024FAFD-30FC-4B9C-BFFE-E0DF79D0A656}">
      <tableStyleElement type="firstRowStripe" dxfId="41"/>
      <tableStyleElement type="secondRowStripe" dxfId="40"/>
    </tableStyle>
    <tableStyle name="22-01 BRENO-style 20" pivot="0" count="2" xr9:uid="{600E2D60-3F68-47EF-974A-44FA8D234887}">
      <tableStyleElement type="firstRowStripe" dxfId="39"/>
      <tableStyleElement type="secondRowStripe" dxfId="38"/>
    </tableStyle>
    <tableStyle name="22-01 BRENO-style 21" pivot="0" count="2" xr9:uid="{82A3B607-FF32-47C6-896E-369A5CFD0C81}">
      <tableStyleElement type="firstRowStripe" dxfId="37"/>
      <tableStyleElement type="secondRowStripe" dxfId="36"/>
    </tableStyle>
    <tableStyle name="22-01 BRENO-style 22" pivot="0" count="2" xr9:uid="{A0090D47-886C-4596-988F-4A296C376362}">
      <tableStyleElement type="firstRowStripe" dxfId="35"/>
      <tableStyleElement type="secondRowStripe" dxfId="34"/>
    </tableStyle>
    <tableStyle name="22-01 BRENO-style 23" pivot="0" count="2" xr9:uid="{9F705A47-9608-4591-B63F-D0C506338E96}">
      <tableStyleElement type="firstRowStripe" dxfId="33"/>
      <tableStyleElement type="secondRowStripe" dxfId="32"/>
    </tableStyle>
    <tableStyle name="22-01 BRENO-style 24" pivot="0" count="2" xr9:uid="{6A23BB31-D61B-4A33-9B63-61F9692E2E22}">
      <tableStyleElement type="firstRowStripe" dxfId="31"/>
      <tableStyleElement type="secondRowStripe" dxfId="30"/>
    </tableStyle>
    <tableStyle name="22-01 BRENO-style 25" pivot="0" count="2" xr9:uid="{8998CC7F-A4AB-4758-A1F9-67D1361F7C34}">
      <tableStyleElement type="firstRowStripe" dxfId="29"/>
      <tableStyleElement type="secondRowStripe" dxfId="28"/>
    </tableStyle>
    <tableStyle name="22-01 BRENO-style 26" pivot="0" count="2" xr9:uid="{4C6762B1-9BD1-44CB-B025-22190F72E2F2}">
      <tableStyleElement type="firstRowStripe" dxfId="27"/>
      <tableStyleElement type="secondRowStripe" dxfId="26"/>
    </tableStyle>
    <tableStyle name="22-01 BRENO-style 27" pivot="0" count="2" xr9:uid="{DDB69BC1-F48E-4D8C-BD27-AE13AEC86ACD}">
      <tableStyleElement type="firstRowStripe" dxfId="25"/>
      <tableStyleElement type="secondRowStripe" dxfId="24"/>
    </tableStyle>
    <tableStyle name="22-01 BRENO-style 28" pivot="0" count="2" xr9:uid="{68F61884-691E-4FFF-8225-C777C41BF3DF}">
      <tableStyleElement type="firstRowStripe" dxfId="23"/>
      <tableStyleElement type="secondRowStripe" dxfId="22"/>
    </tableStyle>
    <tableStyle name="22-01 BRENO-style 29" pivot="0" count="2" xr9:uid="{3CCE0134-6D0C-4D10-AE65-DC39A8A9A337}">
      <tableStyleElement type="firstRowStripe" dxfId="21"/>
      <tableStyleElement type="secondRowStripe" dxfId="20"/>
    </tableStyle>
    <tableStyle name="22-01 BRENO-style 3" pivot="0" count="2" xr9:uid="{BC875A83-7A80-4B31-A886-54BDA2C6DB5F}">
      <tableStyleElement type="firstRowStripe" dxfId="19"/>
      <tableStyleElement type="secondRowStripe" dxfId="18"/>
    </tableStyle>
    <tableStyle name="22-01 BRENO-style 30" pivot="0" count="2" xr9:uid="{83A2EFAC-624D-4723-ACA5-66E5208405AA}">
      <tableStyleElement type="firstRowStripe" dxfId="17"/>
      <tableStyleElement type="secondRowStripe" dxfId="16"/>
    </tableStyle>
    <tableStyle name="22-01 BRENO-style 31" pivot="0" count="2" xr9:uid="{D16B660B-F371-4428-A205-4889FD35AB74}">
      <tableStyleElement type="firstRowStripe" dxfId="15"/>
      <tableStyleElement type="secondRowStripe" dxfId="14"/>
    </tableStyle>
    <tableStyle name="22-01 BRENO-style 32" pivot="0" count="2" xr9:uid="{483594E8-6770-4249-BF0F-45501F95E8E7}">
      <tableStyleElement type="firstRowStripe" dxfId="13"/>
      <tableStyleElement type="secondRowStripe" dxfId="12"/>
    </tableStyle>
    <tableStyle name="22-01 BRENO-style 4" pivot="0" count="2" xr9:uid="{E4C362D0-00B3-4E83-89F7-53CEDE0B4375}">
      <tableStyleElement type="firstRowStripe" dxfId="11"/>
      <tableStyleElement type="secondRowStripe" dxfId="10"/>
    </tableStyle>
    <tableStyle name="22-01 BRENO-style 5" pivot="0" count="2" xr9:uid="{7F5726CA-A377-498E-9234-777DA1F00340}">
      <tableStyleElement type="firstRowStripe" dxfId="9"/>
      <tableStyleElement type="secondRowStripe" dxfId="8"/>
    </tableStyle>
    <tableStyle name="22-01 BRENO-style 6" pivot="0" count="2" xr9:uid="{191DCE16-47B4-4A45-8D9E-AB2E4FAD9B51}">
      <tableStyleElement type="firstRowStripe" dxfId="7"/>
      <tableStyleElement type="secondRowStripe" dxfId="6"/>
    </tableStyle>
    <tableStyle name="22-01 BRENO-style 7" pivot="0" count="2" xr9:uid="{C35D57C9-729E-4A94-B342-96E6651CEB2B}">
      <tableStyleElement type="firstRowStripe" dxfId="5"/>
      <tableStyleElement type="secondRowStripe" dxfId="4"/>
    </tableStyle>
    <tableStyle name="22-01 BRENO-style 8" pivot="0" count="2" xr9:uid="{CF619172-D344-4E16-8E60-247EEB83866C}">
      <tableStyleElement type="firstRowStripe" dxfId="3"/>
      <tableStyleElement type="secondRowStripe" dxfId="2"/>
    </tableStyle>
    <tableStyle name="22-01 BRENO-style 9" pivot="0" count="2" xr9:uid="{469B1D7D-232F-4A72-AB16-8BD07E2906A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C73C-9142-47A7-A2EA-773459E0CF2A}">
  <sheetPr codeName="Planilha1"/>
  <dimension ref="A1:R411"/>
  <sheetViews>
    <sheetView showGridLines="0" tabSelected="1" workbookViewId="0">
      <selection activeCell="A2" sqref="A2:A411"/>
    </sheetView>
  </sheetViews>
  <sheetFormatPr defaultRowHeight="15"/>
  <cols>
    <col min="1" max="1" width="12" style="23" bestFit="1" customWidth="1"/>
    <col min="2" max="2" width="33.140625" style="23" bestFit="1" customWidth="1"/>
    <col min="3" max="3" width="15.5703125" style="23" bestFit="1" customWidth="1"/>
    <col min="4" max="4" width="18.85546875" style="23" bestFit="1" customWidth="1"/>
    <col min="5" max="5" width="19.42578125" style="23" bestFit="1" customWidth="1"/>
    <col min="6" max="6" width="18.28515625" style="23" bestFit="1" customWidth="1"/>
    <col min="7" max="8" width="9.140625" style="23"/>
    <col min="9" max="9" width="13.85546875" style="23" bestFit="1" customWidth="1"/>
    <col min="10" max="10" width="15.5703125" style="23" bestFit="1" customWidth="1"/>
    <col min="11" max="11" width="255.5703125" style="23" customWidth="1"/>
    <col min="12" max="14" width="9.140625" style="23"/>
    <col min="15" max="16" width="9.140625" style="24"/>
    <col min="17" max="17" width="31" style="24" bestFit="1" customWidth="1"/>
    <col min="18" max="16384" width="9.140625" style="24"/>
  </cols>
  <sheetData>
    <row r="1" spans="1:18" customFormat="1">
      <c r="A1" s="22" t="str">
        <f>BASE!B1</f>
        <v>HORA</v>
      </c>
      <c r="B1" s="22" t="str">
        <f>BASE!C1</f>
        <v>BENEFICIARIO</v>
      </c>
      <c r="C1" s="22" t="str">
        <f>BASE!D1</f>
        <v>TELEFONE</v>
      </c>
      <c r="D1" s="22" t="s">
        <v>19</v>
      </c>
      <c r="E1" s="22" t="s">
        <v>20</v>
      </c>
      <c r="F1" s="22" t="s">
        <v>21</v>
      </c>
      <c r="G1" s="22" t="s">
        <v>22</v>
      </c>
      <c r="H1" s="22" t="s">
        <v>23</v>
      </c>
      <c r="I1" s="22" t="s">
        <v>24</v>
      </c>
      <c r="J1" s="22" t="s">
        <v>25</v>
      </c>
      <c r="K1" s="22" t="s">
        <v>26</v>
      </c>
      <c r="L1" s="22"/>
      <c r="M1" s="22"/>
      <c r="N1" s="22"/>
      <c r="Q1" t="s">
        <v>27</v>
      </c>
      <c r="R1">
        <v>400</v>
      </c>
    </row>
    <row r="2" spans="1:18" customFormat="1">
      <c r="A2" s="20" t="str">
        <f>IF(BASE!B2=0,"",BASE!B2)</f>
        <v/>
      </c>
      <c r="B2" s="19" t="str">
        <f>IF(BASE!C2=0,"",BASE!C2)</f>
        <v/>
      </c>
      <c r="C2" s="19" t="str">
        <f>IF(BASE!D2=0,"",TRIM(BASE!D2))</f>
        <v/>
      </c>
      <c r="D2" s="21" t="str">
        <f>IFERROR(VLOOKUP(A2,AUX!A:B,2,0),"")</f>
        <v/>
      </c>
      <c r="E2" s="19" t="str">
        <f>RIGHT(LEFT(TRIM(C2),3),2)</f>
        <v/>
      </c>
      <c r="F2" s="19" t="str">
        <f>TRIM(RIGHT(TRIM(C2),11))</f>
        <v/>
      </c>
      <c r="G2" s="19" t="str">
        <f>TRIM(LEFT(F2,5))</f>
        <v/>
      </c>
      <c r="H2" s="19" t="str">
        <f t="shared" ref="H2:H66" si="0">RIGHT(TRIM(F2),5)</f>
        <v/>
      </c>
      <c r="I2" s="18" t="str">
        <f>E2&amp;G2&amp;H2</f>
        <v/>
      </c>
      <c r="J2" s="18" t="str">
        <f>IFERROR(LEFT(B2,FIND(" ",B2)),"")</f>
        <v/>
      </c>
      <c r="K2" s="19" t="str">
        <f>IF(A2="","","Prezado (a), "&amp;J2&amp;"
Devido a um imprevisto no voo do médico, o horário do seu procedimento precisou ser alterado para "&amp;TEXT(D2,"HH:MM")&amp;".
Pedimos, por gentileza, que chegue com 15 minutos de antecedência.
Pedimos desculpas pelo transtorno, agradecemos a compreensão e permanecemos à disposição para qualquer dúvida.
Atenciosamente,
Centro de Oftalmologia Brasil")</f>
        <v/>
      </c>
      <c r="L2" s="19"/>
      <c r="M2" s="19"/>
      <c r="N2" s="19"/>
      <c r="Q2" t="str">
        <f>LEFT(G2,1)</f>
        <v/>
      </c>
    </row>
    <row r="3" spans="1:18" customFormat="1">
      <c r="A3" s="20" t="str">
        <f>IF(BASE!B3=0,"",BASE!B3)</f>
        <v/>
      </c>
      <c r="B3" s="19" t="str">
        <f>IF(BASE!C3=0,"",BASE!C3)</f>
        <v/>
      </c>
      <c r="C3" s="19" t="str">
        <f>IF(BASE!D3=0,"",TRIM(BASE!D3))</f>
        <v/>
      </c>
      <c r="D3" s="21" t="str">
        <f>IFERROR(VLOOKUP(A3,AUX!A:B,2,0),"")</f>
        <v/>
      </c>
      <c r="E3" s="19" t="str">
        <f t="shared" ref="E3:E66" si="1">RIGHT(LEFT(TRIM(C3),3),2)</f>
        <v/>
      </c>
      <c r="F3" s="19" t="str">
        <f>TRIM(RIGHT(TRIM(C3),11))</f>
        <v/>
      </c>
      <c r="G3" s="19" t="str">
        <f t="shared" ref="G3:G66" si="2">TRIM(LEFT(F3,5))</f>
        <v/>
      </c>
      <c r="H3" s="19" t="str">
        <f t="shared" ref="H3:H66" si="3">RIGHT(TRIM(F3),5)</f>
        <v/>
      </c>
      <c r="I3" s="18" t="str">
        <f t="shared" ref="I3" si="4">E3&amp;G3&amp;H3</f>
        <v/>
      </c>
      <c r="J3" s="18" t="str">
        <f t="shared" ref="J3" si="5">IFERROR(LEFT(B3,FIND(" ",B3)),"")</f>
        <v/>
      </c>
      <c r="K3" s="19" t="str">
        <f t="shared" ref="K3:K66" si="6">IF(A3="","","Prezado (a), "&amp;J3&amp;"
Devido a um imprevisto no voo do médico, o horário do seu procedimento precisou ser alterado para "&amp;TEXT(D3,"HH:MM")&amp;".
Pedimos, por gentileza, que chegue com 15 minutos de antecedência.
Pedimos desculpas pelo transtorno, agradecemos a compreensão e permanecemos à disposição para qualquer dúvida.
Atenciosamente,
Centro de Oftalmologia Brasil")</f>
        <v/>
      </c>
      <c r="L3" s="19"/>
      <c r="M3" s="19"/>
      <c r="N3" s="19"/>
      <c r="Q3" t="str">
        <f t="shared" ref="Q3:Q27" si="7">LEFT(G3,1)</f>
        <v/>
      </c>
    </row>
    <row r="4" spans="1:18" customFormat="1">
      <c r="A4" s="20" t="str">
        <f>IF(BASE!B4=0,"",BASE!B4)</f>
        <v/>
      </c>
      <c r="B4" s="19" t="str">
        <f>IF(BASE!C4=0,"",BASE!C4)</f>
        <v/>
      </c>
      <c r="C4" s="19" t="str">
        <f>IF(BASE!D4=0,"",TRIM(BASE!D4))</f>
        <v/>
      </c>
      <c r="D4" s="21" t="str">
        <f>IFERROR(VLOOKUP(A4,AUX!A:B,2,0),"")</f>
        <v/>
      </c>
      <c r="E4" s="19" t="str">
        <f t="shared" si="1"/>
        <v/>
      </c>
      <c r="F4" s="19" t="str">
        <f>TRIM(RIGHT(TRIM(C4),11))</f>
        <v/>
      </c>
      <c r="G4" s="19" t="str">
        <f t="shared" si="2"/>
        <v/>
      </c>
      <c r="H4" s="19" t="str">
        <f t="shared" si="3"/>
        <v/>
      </c>
      <c r="I4" s="18" t="str">
        <f t="shared" ref="I4:I31" si="8">E4&amp;G4&amp;H4</f>
        <v/>
      </c>
      <c r="J4" s="18" t="str">
        <f t="shared" ref="J4:J31" si="9">IFERROR(LEFT(B4,FIND(" ",B4)),"")</f>
        <v/>
      </c>
      <c r="K4" s="19" t="str">
        <f t="shared" si="6"/>
        <v/>
      </c>
      <c r="L4" s="19"/>
      <c r="M4" s="19"/>
      <c r="N4" s="19"/>
      <c r="Q4" t="str">
        <f t="shared" si="7"/>
        <v/>
      </c>
    </row>
    <row r="5" spans="1:18" customFormat="1">
      <c r="A5" s="20" t="str">
        <f>IF(BASE!B5=0,"",BASE!B5)</f>
        <v/>
      </c>
      <c r="B5" s="19" t="str">
        <f>IF(BASE!C5=0,"",BASE!C5)</f>
        <v/>
      </c>
      <c r="C5" s="19" t="str">
        <f>IF(BASE!D5=0,"",TRIM(BASE!D5))</f>
        <v/>
      </c>
      <c r="D5" s="21" t="str">
        <f>IFERROR(VLOOKUP(A5,AUX!A:B,2,0),"")</f>
        <v/>
      </c>
      <c r="E5" s="19" t="str">
        <f t="shared" si="1"/>
        <v/>
      </c>
      <c r="F5" s="19" t="str">
        <f>TRIM(RIGHT(TRIM(C5),11))</f>
        <v/>
      </c>
      <c r="G5" s="19" t="str">
        <f t="shared" si="2"/>
        <v/>
      </c>
      <c r="H5" s="19" t="str">
        <f t="shared" si="3"/>
        <v/>
      </c>
      <c r="I5" s="18" t="str">
        <f t="shared" si="8"/>
        <v/>
      </c>
      <c r="J5" s="18" t="str">
        <f t="shared" si="9"/>
        <v/>
      </c>
      <c r="K5" s="19" t="str">
        <f t="shared" si="6"/>
        <v/>
      </c>
      <c r="L5" s="19"/>
      <c r="M5" s="19"/>
      <c r="N5" s="19"/>
      <c r="Q5" t="str">
        <f t="shared" si="7"/>
        <v/>
      </c>
    </row>
    <row r="6" spans="1:18" customFormat="1">
      <c r="A6" s="20" t="str">
        <f>IF(BASE!B6=0,"",BASE!B6)</f>
        <v/>
      </c>
      <c r="B6" s="19" t="str">
        <f>IF(BASE!C6=0,"",BASE!C6)</f>
        <v/>
      </c>
      <c r="C6" s="19" t="str">
        <f>IF(BASE!D6=0,"",TRIM(BASE!D6))</f>
        <v/>
      </c>
      <c r="D6" s="21" t="str">
        <f>IFERROR(VLOOKUP(A6,AUX!A:B,2,0),"")</f>
        <v/>
      </c>
      <c r="E6" s="19" t="str">
        <f t="shared" si="1"/>
        <v/>
      </c>
      <c r="F6" s="19" t="str">
        <f>TRIM(RIGHT(TRIM(C6),11))</f>
        <v/>
      </c>
      <c r="G6" s="19" t="str">
        <f t="shared" si="2"/>
        <v/>
      </c>
      <c r="H6" s="19" t="str">
        <f t="shared" si="3"/>
        <v/>
      </c>
      <c r="I6" s="18" t="str">
        <f t="shared" si="8"/>
        <v/>
      </c>
      <c r="J6" s="18" t="str">
        <f t="shared" si="9"/>
        <v/>
      </c>
      <c r="K6" s="19" t="str">
        <f t="shared" si="6"/>
        <v/>
      </c>
      <c r="L6" s="19"/>
      <c r="M6" s="19"/>
      <c r="N6" s="19"/>
      <c r="Q6" t="str">
        <f t="shared" si="7"/>
        <v/>
      </c>
    </row>
    <row r="7" spans="1:18" customFormat="1">
      <c r="A7" s="20" t="str">
        <f>IF(BASE!B7=0,"",BASE!B7)</f>
        <v/>
      </c>
      <c r="B7" s="19" t="str">
        <f>IF(BASE!C7=0,"",BASE!C7)</f>
        <v/>
      </c>
      <c r="C7" s="19" t="str">
        <f>IF(BASE!D7=0,"",TRIM(BASE!D7))</f>
        <v/>
      </c>
      <c r="D7" s="21" t="str">
        <f>IFERROR(VLOOKUP(A7,AUX!A:B,2,0),"")</f>
        <v/>
      </c>
      <c r="E7" s="19" t="str">
        <f t="shared" si="1"/>
        <v/>
      </c>
      <c r="F7" s="19" t="str">
        <f t="shared" ref="F7:F66" si="10">TRIM(RIGHT(TRIM(C7),11))</f>
        <v/>
      </c>
      <c r="G7" s="19" t="str">
        <f t="shared" si="2"/>
        <v/>
      </c>
      <c r="H7" s="19" t="str">
        <f t="shared" si="3"/>
        <v/>
      </c>
      <c r="I7" s="18" t="str">
        <f t="shared" si="8"/>
        <v/>
      </c>
      <c r="J7" s="18" t="str">
        <f t="shared" si="9"/>
        <v/>
      </c>
      <c r="K7" s="19" t="str">
        <f t="shared" si="6"/>
        <v/>
      </c>
      <c r="L7" s="19"/>
      <c r="M7" s="19"/>
      <c r="N7" s="19"/>
      <c r="Q7" t="str">
        <f t="shared" si="7"/>
        <v/>
      </c>
    </row>
    <row r="8" spans="1:18" customFormat="1">
      <c r="A8" s="20" t="str">
        <f>IF(BASE!B8=0,"",BASE!B8)</f>
        <v/>
      </c>
      <c r="B8" s="19" t="str">
        <f>IF(BASE!C8=0,"",BASE!C8)</f>
        <v/>
      </c>
      <c r="C8" s="19" t="str">
        <f>IF(BASE!D8=0,"",TRIM(BASE!D8))</f>
        <v/>
      </c>
      <c r="D8" s="21" t="str">
        <f>IFERROR(VLOOKUP(A8,AUX!A:B,2,0),"")</f>
        <v/>
      </c>
      <c r="E8" s="19" t="str">
        <f t="shared" si="1"/>
        <v/>
      </c>
      <c r="F8" s="19" t="str">
        <f t="shared" si="10"/>
        <v/>
      </c>
      <c r="G8" s="19" t="str">
        <f t="shared" si="2"/>
        <v/>
      </c>
      <c r="H8" s="19" t="str">
        <f t="shared" si="3"/>
        <v/>
      </c>
      <c r="I8" s="18" t="str">
        <f t="shared" si="8"/>
        <v/>
      </c>
      <c r="J8" s="18" t="str">
        <f t="shared" si="9"/>
        <v/>
      </c>
      <c r="K8" s="19" t="str">
        <f t="shared" si="6"/>
        <v/>
      </c>
      <c r="L8" s="19"/>
      <c r="M8" s="19"/>
      <c r="N8" s="19"/>
      <c r="Q8" t="str">
        <f t="shared" si="7"/>
        <v/>
      </c>
    </row>
    <row r="9" spans="1:18" customFormat="1">
      <c r="A9" s="20" t="str">
        <f>IF(BASE!B9=0,"",BASE!B9)</f>
        <v/>
      </c>
      <c r="B9" s="19" t="str">
        <f>IF(BASE!C9=0,"",BASE!C9)</f>
        <v/>
      </c>
      <c r="C9" s="19" t="str">
        <f>IF(BASE!D9=0,"",TRIM(BASE!D9))</f>
        <v/>
      </c>
      <c r="D9" s="21" t="str">
        <f>IFERROR(VLOOKUP(A9,AUX!A:B,2,0),"")</f>
        <v/>
      </c>
      <c r="E9" s="19" t="str">
        <f t="shared" si="1"/>
        <v/>
      </c>
      <c r="F9" s="19" t="str">
        <f t="shared" si="10"/>
        <v/>
      </c>
      <c r="G9" s="19" t="str">
        <f t="shared" si="2"/>
        <v/>
      </c>
      <c r="H9" s="19" t="str">
        <f t="shared" si="3"/>
        <v/>
      </c>
      <c r="I9" s="18" t="str">
        <f t="shared" si="8"/>
        <v/>
      </c>
      <c r="J9" s="18" t="str">
        <f t="shared" si="9"/>
        <v/>
      </c>
      <c r="K9" s="19" t="str">
        <f t="shared" si="6"/>
        <v/>
      </c>
      <c r="L9" s="19"/>
      <c r="M9" s="19"/>
      <c r="N9" s="19"/>
      <c r="Q9" t="str">
        <f t="shared" si="7"/>
        <v/>
      </c>
    </row>
    <row r="10" spans="1:18" customFormat="1">
      <c r="A10" s="20" t="str">
        <f>IF(BASE!B10=0,"",BASE!B10)</f>
        <v/>
      </c>
      <c r="B10" s="19" t="str">
        <f>IF(BASE!C10=0,"",BASE!C10)</f>
        <v/>
      </c>
      <c r="C10" s="19" t="str">
        <f>IF(BASE!D10=0,"",TRIM(BASE!D10))</f>
        <v/>
      </c>
      <c r="D10" s="21" t="str">
        <f>IFERROR(VLOOKUP(A10,AUX!A:B,2,0),"")</f>
        <v/>
      </c>
      <c r="E10" s="19" t="str">
        <f t="shared" si="1"/>
        <v/>
      </c>
      <c r="F10" s="19" t="str">
        <f t="shared" si="10"/>
        <v/>
      </c>
      <c r="G10" s="19" t="str">
        <f t="shared" si="2"/>
        <v/>
      </c>
      <c r="H10" s="19" t="str">
        <f t="shared" si="3"/>
        <v/>
      </c>
      <c r="I10" s="18" t="str">
        <f t="shared" si="8"/>
        <v/>
      </c>
      <c r="J10" s="18" t="str">
        <f t="shared" si="9"/>
        <v/>
      </c>
      <c r="K10" s="19" t="str">
        <f t="shared" si="6"/>
        <v/>
      </c>
      <c r="L10" s="19"/>
      <c r="M10" s="19"/>
      <c r="N10" s="19"/>
      <c r="Q10" t="str">
        <f t="shared" si="7"/>
        <v/>
      </c>
    </row>
    <row r="11" spans="1:18" customFormat="1">
      <c r="A11" s="20" t="str">
        <f>IF(BASE!B11=0,"",BASE!B11)</f>
        <v/>
      </c>
      <c r="B11" s="19" t="str">
        <f>IF(BASE!C11=0,"",BASE!C11)</f>
        <v/>
      </c>
      <c r="C11" s="19" t="str">
        <f>IF(BASE!D11=0,"",TRIM(BASE!D11))</f>
        <v/>
      </c>
      <c r="D11" s="21" t="str">
        <f>IFERROR(VLOOKUP(A11,AUX!A:B,2,0),"")</f>
        <v/>
      </c>
      <c r="E11" s="19" t="str">
        <f t="shared" si="1"/>
        <v/>
      </c>
      <c r="F11" s="19" t="str">
        <f t="shared" si="10"/>
        <v/>
      </c>
      <c r="G11" s="19" t="str">
        <f t="shared" si="2"/>
        <v/>
      </c>
      <c r="H11" s="19" t="str">
        <f t="shared" si="3"/>
        <v/>
      </c>
      <c r="I11" s="18" t="str">
        <f t="shared" si="8"/>
        <v/>
      </c>
      <c r="J11" s="18" t="str">
        <f t="shared" si="9"/>
        <v/>
      </c>
      <c r="K11" s="19" t="str">
        <f t="shared" si="6"/>
        <v/>
      </c>
      <c r="L11" s="19"/>
      <c r="M11" s="19"/>
      <c r="N11" s="19"/>
      <c r="Q11" t="str">
        <f t="shared" si="7"/>
        <v/>
      </c>
    </row>
    <row r="12" spans="1:18" customFormat="1">
      <c r="A12" s="20" t="str">
        <f>IF(BASE!B12=0,"",BASE!B12)</f>
        <v/>
      </c>
      <c r="B12" s="19" t="str">
        <f>IF(BASE!C12=0,"",BASE!C12)</f>
        <v/>
      </c>
      <c r="C12" s="19" t="str">
        <f>IF(BASE!D12=0,"",TRIM(BASE!D12))</f>
        <v/>
      </c>
      <c r="D12" s="21" t="str">
        <f>IFERROR(VLOOKUP(A12,AUX!A:B,2,0),"")</f>
        <v/>
      </c>
      <c r="E12" s="19" t="str">
        <f t="shared" si="1"/>
        <v/>
      </c>
      <c r="F12" s="19" t="str">
        <f t="shared" si="10"/>
        <v/>
      </c>
      <c r="G12" s="19" t="str">
        <f t="shared" si="2"/>
        <v/>
      </c>
      <c r="H12" s="19" t="str">
        <f t="shared" si="3"/>
        <v/>
      </c>
      <c r="I12" s="18" t="str">
        <f t="shared" si="8"/>
        <v/>
      </c>
      <c r="J12" s="18" t="str">
        <f t="shared" si="9"/>
        <v/>
      </c>
      <c r="K12" s="19" t="str">
        <f t="shared" si="6"/>
        <v/>
      </c>
      <c r="L12" s="19"/>
      <c r="M12" s="19"/>
      <c r="N12" s="19"/>
      <c r="Q12" t="str">
        <f t="shared" si="7"/>
        <v/>
      </c>
    </row>
    <row r="13" spans="1:18" customFormat="1">
      <c r="A13" s="20" t="str">
        <f>IF(BASE!B13=0,"",BASE!B13)</f>
        <v/>
      </c>
      <c r="B13" s="19" t="str">
        <f>IF(BASE!C13=0,"",BASE!C13)</f>
        <v/>
      </c>
      <c r="C13" s="19" t="str">
        <f>IF(BASE!D13=0,"",TRIM(BASE!D13))</f>
        <v/>
      </c>
      <c r="D13" s="21" t="str">
        <f>IFERROR(VLOOKUP(A13,AUX!A:B,2,0),"")</f>
        <v/>
      </c>
      <c r="E13" s="19" t="str">
        <f t="shared" si="1"/>
        <v/>
      </c>
      <c r="F13" s="19" t="str">
        <f t="shared" si="10"/>
        <v/>
      </c>
      <c r="G13" s="19" t="str">
        <f t="shared" si="2"/>
        <v/>
      </c>
      <c r="H13" s="19" t="str">
        <f t="shared" si="3"/>
        <v/>
      </c>
      <c r="I13" s="18" t="str">
        <f t="shared" si="8"/>
        <v/>
      </c>
      <c r="J13" s="18" t="str">
        <f t="shared" si="9"/>
        <v/>
      </c>
      <c r="K13" s="19" t="str">
        <f t="shared" si="6"/>
        <v/>
      </c>
      <c r="L13" s="19"/>
      <c r="M13" s="19"/>
      <c r="N13" s="19"/>
      <c r="Q13" t="str">
        <f t="shared" si="7"/>
        <v/>
      </c>
    </row>
    <row r="14" spans="1:18" customFormat="1">
      <c r="A14" s="20" t="str">
        <f>IF(BASE!B14=0,"",BASE!B14)</f>
        <v/>
      </c>
      <c r="B14" s="19" t="str">
        <f>IF(BASE!C14=0,"",BASE!C14)</f>
        <v/>
      </c>
      <c r="C14" s="19" t="str">
        <f>IF(BASE!D14=0,"",TRIM(BASE!D14))</f>
        <v/>
      </c>
      <c r="D14" s="21" t="str">
        <f>IFERROR(VLOOKUP(A14,AUX!A:B,2,0),"")</f>
        <v/>
      </c>
      <c r="E14" s="19" t="str">
        <f t="shared" si="1"/>
        <v/>
      </c>
      <c r="F14" s="19" t="str">
        <f t="shared" si="10"/>
        <v/>
      </c>
      <c r="G14" s="19" t="str">
        <f t="shared" si="2"/>
        <v/>
      </c>
      <c r="H14" s="19" t="str">
        <f t="shared" si="3"/>
        <v/>
      </c>
      <c r="I14" s="18" t="str">
        <f t="shared" si="8"/>
        <v/>
      </c>
      <c r="J14" s="18" t="str">
        <f t="shared" si="9"/>
        <v/>
      </c>
      <c r="K14" s="19" t="str">
        <f t="shared" si="6"/>
        <v/>
      </c>
      <c r="L14" s="19"/>
      <c r="M14" s="19"/>
      <c r="N14" s="19"/>
      <c r="Q14" t="str">
        <f t="shared" si="7"/>
        <v/>
      </c>
    </row>
    <row r="15" spans="1:18">
      <c r="A15" s="20" t="str">
        <f>IF(BASE!B15=0,"",BASE!B15)</f>
        <v/>
      </c>
      <c r="B15" s="23" t="str">
        <f>IF(BASE!C15=0,"",BASE!C15)</f>
        <v/>
      </c>
      <c r="C15" s="23" t="str">
        <f>IF(BASE!D15=0,"",TRIM(BASE!D15))</f>
        <v/>
      </c>
      <c r="D15" s="21" t="str">
        <f>IFERROR(VLOOKUP(A15,AUX!A:B,2,0),"")</f>
        <v/>
      </c>
      <c r="E15" s="23" t="str">
        <f t="shared" si="1"/>
        <v/>
      </c>
      <c r="F15" s="23" t="str">
        <f t="shared" si="10"/>
        <v/>
      </c>
      <c r="G15" s="19" t="str">
        <f t="shared" si="2"/>
        <v/>
      </c>
      <c r="H15" s="19" t="str">
        <f t="shared" si="3"/>
        <v/>
      </c>
      <c r="I15" s="18" t="str">
        <f t="shared" si="8"/>
        <v/>
      </c>
      <c r="J15" s="18" t="str">
        <f t="shared" si="9"/>
        <v/>
      </c>
      <c r="K15" s="23" t="str">
        <f t="shared" si="6"/>
        <v/>
      </c>
      <c r="Q15" s="24" t="str">
        <f t="shared" si="7"/>
        <v/>
      </c>
    </row>
    <row r="16" spans="1:18">
      <c r="A16" s="20" t="str">
        <f>IF(BASE!B16=0,"",BASE!B16)</f>
        <v/>
      </c>
      <c r="B16" s="23" t="str">
        <f>IF(BASE!C16=0,"",BASE!C16)</f>
        <v/>
      </c>
      <c r="C16" s="23" t="str">
        <f>IF(BASE!D16=0,"",TRIM(BASE!D16))</f>
        <v/>
      </c>
      <c r="D16" s="21" t="str">
        <f>IFERROR(VLOOKUP(A16,AUX!A:B,2,0),"")</f>
        <v/>
      </c>
      <c r="E16" s="23" t="str">
        <f t="shared" si="1"/>
        <v/>
      </c>
      <c r="F16" s="23" t="str">
        <f t="shared" si="10"/>
        <v/>
      </c>
      <c r="G16" s="19" t="str">
        <f t="shared" si="2"/>
        <v/>
      </c>
      <c r="H16" s="19" t="str">
        <f t="shared" si="3"/>
        <v/>
      </c>
      <c r="I16" s="18" t="str">
        <f t="shared" si="8"/>
        <v/>
      </c>
      <c r="J16" s="18" t="str">
        <f t="shared" si="9"/>
        <v/>
      </c>
      <c r="K16" s="23" t="str">
        <f t="shared" si="6"/>
        <v/>
      </c>
      <c r="Q16" s="24" t="str">
        <f t="shared" si="7"/>
        <v/>
      </c>
    </row>
    <row r="17" spans="1:17" customFormat="1">
      <c r="A17" s="20" t="str">
        <f>IF(BASE!B17=0,"",BASE!B17)</f>
        <v/>
      </c>
      <c r="B17" s="19" t="str">
        <f>IF(BASE!C17=0,"",BASE!C17)</f>
        <v/>
      </c>
      <c r="C17" s="19" t="str">
        <f>IF(BASE!D17=0,"",TRIM(BASE!D17))</f>
        <v/>
      </c>
      <c r="D17" s="21" t="str">
        <f>IFERROR(VLOOKUP(A17,AUX!A:B,2,0),"")</f>
        <v/>
      </c>
      <c r="E17" s="19" t="str">
        <f t="shared" si="1"/>
        <v/>
      </c>
      <c r="F17" s="19" t="str">
        <f t="shared" si="10"/>
        <v/>
      </c>
      <c r="G17" s="19" t="str">
        <f t="shared" si="2"/>
        <v/>
      </c>
      <c r="H17" s="19" t="str">
        <f t="shared" si="3"/>
        <v/>
      </c>
      <c r="I17" s="18" t="str">
        <f t="shared" si="8"/>
        <v/>
      </c>
      <c r="J17" s="18" t="str">
        <f t="shared" si="9"/>
        <v/>
      </c>
      <c r="K17" s="19" t="str">
        <f t="shared" si="6"/>
        <v/>
      </c>
      <c r="L17" s="19"/>
      <c r="M17" s="19"/>
      <c r="N17" s="19"/>
      <c r="Q17" t="str">
        <f t="shared" si="7"/>
        <v/>
      </c>
    </row>
    <row r="18" spans="1:17" customFormat="1">
      <c r="A18" s="20" t="str">
        <f>IF(BASE!B18=0,"",BASE!B18)</f>
        <v/>
      </c>
      <c r="B18" s="19" t="str">
        <f>IF(BASE!C18=0,"",BASE!C18)</f>
        <v/>
      </c>
      <c r="C18" s="19" t="str">
        <f>IF(BASE!D18=0,"",TRIM(BASE!D18))</f>
        <v/>
      </c>
      <c r="D18" s="21" t="str">
        <f>IFERROR(VLOOKUP(A18,AUX!A:B,2,0),"")</f>
        <v/>
      </c>
      <c r="E18" s="19" t="str">
        <f t="shared" si="1"/>
        <v/>
      </c>
      <c r="F18" s="19" t="str">
        <f t="shared" si="10"/>
        <v/>
      </c>
      <c r="G18" s="19" t="str">
        <f t="shared" si="2"/>
        <v/>
      </c>
      <c r="H18" s="19" t="str">
        <f t="shared" si="3"/>
        <v/>
      </c>
      <c r="I18" s="18" t="str">
        <f t="shared" si="8"/>
        <v/>
      </c>
      <c r="J18" s="18" t="str">
        <f t="shared" si="9"/>
        <v/>
      </c>
      <c r="K18" s="19" t="str">
        <f t="shared" si="6"/>
        <v/>
      </c>
      <c r="L18" s="19"/>
      <c r="M18" s="19"/>
      <c r="N18" s="19"/>
      <c r="Q18" t="str">
        <f t="shared" si="7"/>
        <v/>
      </c>
    </row>
    <row r="19" spans="1:17">
      <c r="A19" s="20" t="str">
        <f>IF(BASE!B19=0,"",BASE!B19)</f>
        <v/>
      </c>
      <c r="B19" s="23" t="str">
        <f>IF(BASE!C19=0,"",BASE!C19)</f>
        <v/>
      </c>
      <c r="C19" s="23" t="str">
        <f>IF(BASE!D19=0,"",TRIM(BASE!D19))</f>
        <v/>
      </c>
      <c r="D19" s="21" t="str">
        <f>IFERROR(VLOOKUP(A19,AUX!A:B,2,0),"")</f>
        <v/>
      </c>
      <c r="E19" s="23" t="str">
        <f t="shared" si="1"/>
        <v/>
      </c>
      <c r="F19" s="23" t="str">
        <f t="shared" si="10"/>
        <v/>
      </c>
      <c r="G19" s="19" t="str">
        <f t="shared" si="2"/>
        <v/>
      </c>
      <c r="H19" s="19" t="str">
        <f t="shared" si="3"/>
        <v/>
      </c>
      <c r="I19" s="18" t="str">
        <f t="shared" si="8"/>
        <v/>
      </c>
      <c r="J19" s="18" t="str">
        <f t="shared" si="9"/>
        <v/>
      </c>
      <c r="K19" s="23" t="str">
        <f t="shared" si="6"/>
        <v/>
      </c>
      <c r="Q19" s="24" t="str">
        <f t="shared" si="7"/>
        <v/>
      </c>
    </row>
    <row r="20" spans="1:17" customFormat="1">
      <c r="A20" s="20" t="str">
        <f>IF(BASE!B20=0,"",BASE!B20)</f>
        <v/>
      </c>
      <c r="B20" s="19" t="str">
        <f>IF(BASE!C20=0,"",BASE!C20)</f>
        <v/>
      </c>
      <c r="C20" s="19" t="str">
        <f>IF(BASE!D20=0,"",TRIM(BASE!D20))</f>
        <v/>
      </c>
      <c r="D20" s="21" t="str">
        <f>IFERROR(VLOOKUP(A20,AUX!A:B,2,0),"")</f>
        <v/>
      </c>
      <c r="E20" s="19" t="str">
        <f t="shared" si="1"/>
        <v/>
      </c>
      <c r="F20" s="19" t="str">
        <f t="shared" si="10"/>
        <v/>
      </c>
      <c r="G20" s="19" t="str">
        <f t="shared" si="2"/>
        <v/>
      </c>
      <c r="H20" s="19" t="str">
        <f t="shared" si="3"/>
        <v/>
      </c>
      <c r="I20" s="18" t="str">
        <f t="shared" si="8"/>
        <v/>
      </c>
      <c r="J20" s="18" t="str">
        <f t="shared" si="9"/>
        <v/>
      </c>
      <c r="K20" s="19" t="str">
        <f t="shared" si="6"/>
        <v/>
      </c>
      <c r="L20" s="19"/>
      <c r="M20" s="19"/>
      <c r="N20" s="19"/>
      <c r="Q20" t="str">
        <f t="shared" si="7"/>
        <v/>
      </c>
    </row>
    <row r="21" spans="1:17" customFormat="1">
      <c r="A21" s="20" t="str">
        <f>IF(BASE!B21=0,"",BASE!B21)</f>
        <v/>
      </c>
      <c r="B21" s="19" t="str">
        <f>IF(BASE!C21=0,"",BASE!C21)</f>
        <v/>
      </c>
      <c r="C21" s="19" t="str">
        <f>IF(BASE!D21=0,"",TRIM(BASE!D21))</f>
        <v/>
      </c>
      <c r="D21" s="21" t="str">
        <f>IFERROR(VLOOKUP(A21,AUX!A:B,2,0),"")</f>
        <v/>
      </c>
      <c r="E21" s="19" t="str">
        <f t="shared" si="1"/>
        <v/>
      </c>
      <c r="F21" s="19" t="str">
        <f t="shared" si="10"/>
        <v/>
      </c>
      <c r="G21" s="19" t="str">
        <f t="shared" si="2"/>
        <v/>
      </c>
      <c r="H21" s="19" t="str">
        <f t="shared" si="3"/>
        <v/>
      </c>
      <c r="I21" s="18" t="str">
        <f t="shared" si="8"/>
        <v/>
      </c>
      <c r="J21" s="18" t="str">
        <f t="shared" si="9"/>
        <v/>
      </c>
      <c r="K21" s="19" t="str">
        <f t="shared" si="6"/>
        <v/>
      </c>
      <c r="L21" s="19"/>
      <c r="M21" s="19"/>
      <c r="N21" s="19"/>
      <c r="Q21" t="str">
        <f t="shared" si="7"/>
        <v/>
      </c>
    </row>
    <row r="22" spans="1:17" customFormat="1">
      <c r="A22" s="20" t="str">
        <f>IF(BASE!B22=0,"",BASE!B22)</f>
        <v/>
      </c>
      <c r="B22" s="19" t="str">
        <f>IF(BASE!C22=0,"",BASE!C22)</f>
        <v/>
      </c>
      <c r="C22" s="19" t="str">
        <f>IF(BASE!D22=0,"",TRIM(BASE!D22))</f>
        <v/>
      </c>
      <c r="D22" s="21" t="str">
        <f>IFERROR(VLOOKUP(A22,AUX!A:B,2,0),"")</f>
        <v/>
      </c>
      <c r="E22" s="19" t="str">
        <f t="shared" si="1"/>
        <v/>
      </c>
      <c r="F22" s="19" t="str">
        <f t="shared" si="10"/>
        <v/>
      </c>
      <c r="G22" s="19" t="str">
        <f t="shared" si="2"/>
        <v/>
      </c>
      <c r="H22" s="19" t="str">
        <f t="shared" si="3"/>
        <v/>
      </c>
      <c r="I22" s="18" t="str">
        <f t="shared" si="8"/>
        <v/>
      </c>
      <c r="J22" s="18" t="str">
        <f t="shared" si="9"/>
        <v/>
      </c>
      <c r="K22" s="19" t="str">
        <f t="shared" si="6"/>
        <v/>
      </c>
      <c r="L22" s="19"/>
      <c r="M22" s="19"/>
      <c r="N22" s="19"/>
      <c r="Q22" t="str">
        <f t="shared" si="7"/>
        <v/>
      </c>
    </row>
    <row r="23" spans="1:17" customFormat="1">
      <c r="A23" s="20" t="str">
        <f>IF(BASE!B23=0,"",BASE!B23)</f>
        <v/>
      </c>
      <c r="B23" s="19" t="str">
        <f>IF(BASE!C23=0,"",BASE!C23)</f>
        <v/>
      </c>
      <c r="C23" s="19" t="str">
        <f>IF(BASE!D23=0,"",TRIM(BASE!D23))</f>
        <v/>
      </c>
      <c r="D23" s="21" t="str">
        <f>IFERROR(VLOOKUP(A23,AUX!A:B,2,0),"")</f>
        <v/>
      </c>
      <c r="E23" s="19" t="str">
        <f t="shared" si="1"/>
        <v/>
      </c>
      <c r="F23" s="19" t="str">
        <f t="shared" si="10"/>
        <v/>
      </c>
      <c r="G23" s="19" t="str">
        <f t="shared" si="2"/>
        <v/>
      </c>
      <c r="H23" s="19" t="str">
        <f t="shared" si="3"/>
        <v/>
      </c>
      <c r="I23" s="18" t="str">
        <f t="shared" si="8"/>
        <v/>
      </c>
      <c r="J23" s="18" t="str">
        <f t="shared" si="9"/>
        <v/>
      </c>
      <c r="K23" s="19" t="str">
        <f t="shared" si="6"/>
        <v/>
      </c>
      <c r="L23" s="19"/>
      <c r="M23" s="19"/>
      <c r="N23" s="19"/>
      <c r="Q23" t="str">
        <f t="shared" si="7"/>
        <v/>
      </c>
    </row>
    <row r="24" spans="1:17" customFormat="1">
      <c r="A24" s="20" t="str">
        <f>IF(BASE!B24=0,"",BASE!B24)</f>
        <v/>
      </c>
      <c r="B24" s="19" t="str">
        <f>IF(BASE!C24=0,"",BASE!C24)</f>
        <v/>
      </c>
      <c r="C24" s="19" t="str">
        <f>IF(BASE!D24=0,"",TRIM(BASE!D24))</f>
        <v/>
      </c>
      <c r="D24" s="21" t="str">
        <f>IFERROR(VLOOKUP(A24,AUX!A:B,2,0),"")</f>
        <v/>
      </c>
      <c r="E24" s="19" t="str">
        <f t="shared" si="1"/>
        <v/>
      </c>
      <c r="F24" s="19" t="str">
        <f t="shared" si="10"/>
        <v/>
      </c>
      <c r="G24" s="19" t="str">
        <f t="shared" si="2"/>
        <v/>
      </c>
      <c r="H24" s="19" t="str">
        <f t="shared" si="3"/>
        <v/>
      </c>
      <c r="I24" s="18" t="str">
        <f t="shared" si="8"/>
        <v/>
      </c>
      <c r="J24" s="18" t="str">
        <f t="shared" si="9"/>
        <v/>
      </c>
      <c r="K24" s="19" t="str">
        <f t="shared" si="6"/>
        <v/>
      </c>
      <c r="L24" s="19"/>
      <c r="M24" s="19"/>
      <c r="N24" s="19"/>
      <c r="Q24" t="str">
        <f t="shared" si="7"/>
        <v/>
      </c>
    </row>
    <row r="25" spans="1:17" customFormat="1">
      <c r="A25" s="20" t="str">
        <f>IF(BASE!B25=0,"",BASE!B25)</f>
        <v/>
      </c>
      <c r="B25" s="19" t="str">
        <f>IF(BASE!C25=0,"",BASE!C25)</f>
        <v/>
      </c>
      <c r="C25" s="19" t="str">
        <f>IF(BASE!D25=0,"",TRIM(BASE!D25))</f>
        <v/>
      </c>
      <c r="D25" s="21" t="str">
        <f>IFERROR(VLOOKUP(A25,AUX!A:B,2,0),"")</f>
        <v/>
      </c>
      <c r="E25" s="19" t="str">
        <f t="shared" si="1"/>
        <v/>
      </c>
      <c r="F25" s="19" t="str">
        <f t="shared" si="10"/>
        <v/>
      </c>
      <c r="G25" s="19" t="str">
        <f t="shared" si="2"/>
        <v/>
      </c>
      <c r="H25" s="19" t="str">
        <f t="shared" si="3"/>
        <v/>
      </c>
      <c r="I25" s="18" t="str">
        <f t="shared" si="8"/>
        <v/>
      </c>
      <c r="J25" s="18" t="str">
        <f t="shared" si="9"/>
        <v/>
      </c>
      <c r="K25" s="19" t="str">
        <f t="shared" si="6"/>
        <v/>
      </c>
      <c r="L25" s="19"/>
      <c r="M25" s="19"/>
      <c r="N25" s="19"/>
      <c r="Q25" t="str">
        <f t="shared" si="7"/>
        <v/>
      </c>
    </row>
    <row r="26" spans="1:17">
      <c r="A26" s="20" t="str">
        <f>IF(BASE!B26=0,"",BASE!B26)</f>
        <v/>
      </c>
      <c r="B26" s="23" t="str">
        <f>IF(BASE!C26=0,"",BASE!C26)</f>
        <v/>
      </c>
      <c r="C26" s="23" t="str">
        <f>IF(BASE!D26=0,"",TRIM(BASE!D26))</f>
        <v/>
      </c>
      <c r="D26" s="21" t="str">
        <f>IFERROR(VLOOKUP(A26,AUX!A:B,2,0),"")</f>
        <v/>
      </c>
      <c r="E26" s="23" t="str">
        <f t="shared" si="1"/>
        <v/>
      </c>
      <c r="F26" s="23" t="str">
        <f t="shared" si="10"/>
        <v/>
      </c>
      <c r="G26" s="19" t="str">
        <f t="shared" si="2"/>
        <v/>
      </c>
      <c r="H26" s="19" t="str">
        <f t="shared" si="3"/>
        <v/>
      </c>
      <c r="I26" s="18" t="str">
        <f t="shared" si="8"/>
        <v/>
      </c>
      <c r="J26" s="18" t="str">
        <f t="shared" si="9"/>
        <v/>
      </c>
      <c r="K26" s="23" t="str">
        <f t="shared" si="6"/>
        <v/>
      </c>
      <c r="Q26" s="24" t="str">
        <f t="shared" si="7"/>
        <v/>
      </c>
    </row>
    <row r="27" spans="1:17">
      <c r="A27" s="20" t="str">
        <f>IF(BASE!B27=0,"",BASE!B27)</f>
        <v/>
      </c>
      <c r="B27" s="23" t="str">
        <f>IF(BASE!C27=0,"",BASE!C27)</f>
        <v/>
      </c>
      <c r="C27" s="23" t="str">
        <f>IF(BASE!D27=0,"",TRIM(BASE!D27))</f>
        <v/>
      </c>
      <c r="D27" s="21" t="str">
        <f>IFERROR(VLOOKUP(A27,AUX!A:B,2,0),"")</f>
        <v/>
      </c>
      <c r="E27" s="23" t="str">
        <f t="shared" si="1"/>
        <v/>
      </c>
      <c r="F27" s="23" t="str">
        <f t="shared" si="10"/>
        <v/>
      </c>
      <c r="G27" s="19" t="str">
        <f t="shared" si="2"/>
        <v/>
      </c>
      <c r="H27" s="19" t="str">
        <f t="shared" si="3"/>
        <v/>
      </c>
      <c r="I27" s="18" t="str">
        <f t="shared" si="8"/>
        <v/>
      </c>
      <c r="J27" s="18" t="str">
        <f t="shared" si="9"/>
        <v/>
      </c>
      <c r="K27" s="23" t="str">
        <f t="shared" si="6"/>
        <v/>
      </c>
      <c r="Q27" s="24" t="str">
        <f t="shared" si="7"/>
        <v/>
      </c>
    </row>
    <row r="28" spans="1:17" customFormat="1">
      <c r="A28" s="20" t="str">
        <f>IF(BASE!B28=0,"",BASE!B28)</f>
        <v/>
      </c>
      <c r="B28" s="19" t="str">
        <f>IF(BASE!C28=0,"",BASE!C28)</f>
        <v/>
      </c>
      <c r="C28" s="19" t="str">
        <f>IF(BASE!D28=0,"",TRIM(BASE!D28))</f>
        <v/>
      </c>
      <c r="D28" s="21" t="str">
        <f>IFERROR(VLOOKUP(A28,AUX!A:B,2,0),"")</f>
        <v/>
      </c>
      <c r="E28" s="19" t="str">
        <f t="shared" si="1"/>
        <v/>
      </c>
      <c r="F28" s="19" t="str">
        <f t="shared" si="10"/>
        <v/>
      </c>
      <c r="G28" s="19" t="str">
        <f t="shared" si="2"/>
        <v/>
      </c>
      <c r="H28" s="19" t="str">
        <f t="shared" si="3"/>
        <v/>
      </c>
      <c r="I28" s="18" t="str">
        <f t="shared" si="8"/>
        <v/>
      </c>
      <c r="J28" s="18" t="str">
        <f t="shared" si="9"/>
        <v/>
      </c>
      <c r="K28" s="19" t="str">
        <f t="shared" si="6"/>
        <v/>
      </c>
      <c r="L28" s="19"/>
      <c r="M28" s="19"/>
      <c r="N28" s="19"/>
    </row>
    <row r="29" spans="1:17" customFormat="1">
      <c r="A29" s="20" t="str">
        <f>IF(BASE!B29=0,"",BASE!B29)</f>
        <v/>
      </c>
      <c r="B29" s="19" t="str">
        <f>IF(BASE!C29=0,"",BASE!C29)</f>
        <v/>
      </c>
      <c r="C29" s="19" t="str">
        <f>IF(BASE!D29=0,"",TRIM(BASE!D29))</f>
        <v/>
      </c>
      <c r="D29" s="21" t="str">
        <f>IFERROR(VLOOKUP(A29,AUX!A:B,2,0),"")</f>
        <v/>
      </c>
      <c r="E29" s="19" t="str">
        <f t="shared" si="1"/>
        <v/>
      </c>
      <c r="F29" s="19" t="str">
        <f t="shared" si="10"/>
        <v/>
      </c>
      <c r="G29" s="19" t="str">
        <f t="shared" si="2"/>
        <v/>
      </c>
      <c r="H29" s="19" t="str">
        <f t="shared" si="3"/>
        <v/>
      </c>
      <c r="I29" s="18" t="str">
        <f t="shared" si="8"/>
        <v/>
      </c>
      <c r="J29" s="18" t="str">
        <f t="shared" si="9"/>
        <v/>
      </c>
      <c r="K29" s="19" t="str">
        <f t="shared" si="6"/>
        <v/>
      </c>
      <c r="L29" s="19"/>
      <c r="M29" s="19"/>
      <c r="N29" s="19"/>
    </row>
    <row r="30" spans="1:17" customFormat="1">
      <c r="A30" s="20" t="str">
        <f>IF(BASE!B30=0,"",BASE!B30)</f>
        <v/>
      </c>
      <c r="B30" s="19" t="str">
        <f>IF(BASE!C30=0,"",BASE!C30)</f>
        <v/>
      </c>
      <c r="C30" s="19" t="str">
        <f>IF(BASE!D30=0,"",TRIM(BASE!D30))</f>
        <v/>
      </c>
      <c r="D30" s="21" t="str">
        <f>IFERROR(VLOOKUP(A30,AUX!A:B,2,0),"")</f>
        <v/>
      </c>
      <c r="E30" s="19" t="str">
        <f t="shared" si="1"/>
        <v/>
      </c>
      <c r="F30" s="19" t="str">
        <f t="shared" si="10"/>
        <v/>
      </c>
      <c r="G30" s="19" t="str">
        <f t="shared" si="2"/>
        <v/>
      </c>
      <c r="H30" s="19" t="str">
        <f t="shared" si="3"/>
        <v/>
      </c>
      <c r="I30" s="18" t="str">
        <f t="shared" si="8"/>
        <v/>
      </c>
      <c r="J30" s="18" t="str">
        <f t="shared" si="9"/>
        <v/>
      </c>
      <c r="K30" s="19" t="str">
        <f t="shared" si="6"/>
        <v/>
      </c>
      <c r="L30" s="19"/>
      <c r="M30" s="19"/>
      <c r="N30" s="19"/>
    </row>
    <row r="31" spans="1:17" customFormat="1">
      <c r="A31" s="20" t="str">
        <f>IF(BASE!B31=0,"",BASE!B31)</f>
        <v/>
      </c>
      <c r="B31" s="19" t="str">
        <f>IF(BASE!C31=0,"",BASE!C31)</f>
        <v/>
      </c>
      <c r="C31" s="19" t="str">
        <f>IF(BASE!D31=0,"",TRIM(BASE!D31))</f>
        <v/>
      </c>
      <c r="D31" s="21" t="str">
        <f>IFERROR(VLOOKUP(A31,AUX!A:B,2,0),"")</f>
        <v/>
      </c>
      <c r="E31" s="19" t="str">
        <f t="shared" si="1"/>
        <v/>
      </c>
      <c r="F31" s="19" t="str">
        <f t="shared" si="10"/>
        <v/>
      </c>
      <c r="G31" s="19" t="str">
        <f t="shared" si="2"/>
        <v/>
      </c>
      <c r="H31" s="19" t="str">
        <f t="shared" si="3"/>
        <v/>
      </c>
      <c r="I31" s="18" t="str">
        <f t="shared" si="8"/>
        <v/>
      </c>
      <c r="J31" s="18" t="str">
        <f t="shared" si="9"/>
        <v/>
      </c>
      <c r="K31" s="19" t="str">
        <f t="shared" si="6"/>
        <v/>
      </c>
      <c r="L31" s="19"/>
      <c r="M31" s="19"/>
      <c r="N31" s="19"/>
    </row>
    <row r="32" spans="1:17" customFormat="1">
      <c r="A32" s="20" t="str">
        <f>IF(BASE!B32=0,"",BASE!B32)</f>
        <v/>
      </c>
      <c r="B32" s="19" t="str">
        <f>IF(BASE!C32=0,"",BASE!C32)</f>
        <v/>
      </c>
      <c r="C32" s="19" t="str">
        <f>IF(BASE!D32=0,"",TRIM(BASE!D32))</f>
        <v/>
      </c>
      <c r="D32" s="21" t="str">
        <f>IFERROR(VLOOKUP(A32,AUX!A:B,2,0),"")</f>
        <v/>
      </c>
      <c r="E32" s="19" t="str">
        <f t="shared" si="1"/>
        <v/>
      </c>
      <c r="F32" s="19" t="str">
        <f t="shared" si="10"/>
        <v/>
      </c>
      <c r="G32" s="19" t="str">
        <f t="shared" si="2"/>
        <v/>
      </c>
      <c r="H32" s="19" t="str">
        <f t="shared" si="3"/>
        <v/>
      </c>
      <c r="I32" s="18" t="str">
        <f t="shared" ref="I32:I95" si="11">E32&amp;G32&amp;H32</f>
        <v/>
      </c>
      <c r="J32" s="18" t="str">
        <f t="shared" ref="J32:J95" si="12">IFERROR(LEFT(B32,FIND(" ",B32)),"")</f>
        <v/>
      </c>
      <c r="K32" s="19" t="str">
        <f t="shared" si="6"/>
        <v/>
      </c>
      <c r="L32" s="19"/>
      <c r="M32" s="19"/>
      <c r="N32" s="19"/>
    </row>
    <row r="33" spans="1:14" customFormat="1">
      <c r="A33" s="20" t="str">
        <f>IF(BASE!B33=0,"",BASE!B33)</f>
        <v/>
      </c>
      <c r="B33" s="19" t="str">
        <f>IF(BASE!C33=0,"",BASE!C33)</f>
        <v/>
      </c>
      <c r="C33" s="19" t="str">
        <f>IF(BASE!D33=0,"",TRIM(BASE!D33))</f>
        <v/>
      </c>
      <c r="D33" s="21" t="str">
        <f>IFERROR(VLOOKUP(A33,AUX!A:B,2,0),"")</f>
        <v/>
      </c>
      <c r="E33" s="19" t="str">
        <f t="shared" si="1"/>
        <v/>
      </c>
      <c r="F33" s="19" t="str">
        <f t="shared" si="10"/>
        <v/>
      </c>
      <c r="G33" s="19" t="str">
        <f t="shared" si="2"/>
        <v/>
      </c>
      <c r="H33" s="19" t="str">
        <f t="shared" si="3"/>
        <v/>
      </c>
      <c r="I33" s="18" t="str">
        <f t="shared" si="11"/>
        <v/>
      </c>
      <c r="J33" s="18" t="str">
        <f t="shared" si="12"/>
        <v/>
      </c>
      <c r="K33" s="19" t="str">
        <f t="shared" si="6"/>
        <v/>
      </c>
      <c r="L33" s="19"/>
      <c r="M33" s="19"/>
      <c r="N33" s="19"/>
    </row>
    <row r="34" spans="1:14" customFormat="1">
      <c r="A34" s="20" t="str">
        <f>IF(BASE!B34=0,"",BASE!B34)</f>
        <v/>
      </c>
      <c r="B34" s="19" t="str">
        <f>IF(BASE!C34=0,"",BASE!C34)</f>
        <v/>
      </c>
      <c r="C34" s="19" t="str">
        <f>IF(BASE!D34=0,"",TRIM(BASE!D34))</f>
        <v/>
      </c>
      <c r="D34" s="21" t="str">
        <f>IFERROR(VLOOKUP(A34,AUX!A:B,2,0),"")</f>
        <v/>
      </c>
      <c r="E34" s="19" t="str">
        <f t="shared" si="1"/>
        <v/>
      </c>
      <c r="F34" s="19" t="str">
        <f t="shared" si="10"/>
        <v/>
      </c>
      <c r="G34" s="19" t="str">
        <f t="shared" si="2"/>
        <v/>
      </c>
      <c r="H34" s="19" t="str">
        <f t="shared" si="3"/>
        <v/>
      </c>
      <c r="I34" s="18" t="str">
        <f t="shared" si="11"/>
        <v/>
      </c>
      <c r="J34" s="18" t="str">
        <f t="shared" si="12"/>
        <v/>
      </c>
      <c r="K34" s="19" t="str">
        <f t="shared" si="6"/>
        <v/>
      </c>
      <c r="L34" s="19"/>
      <c r="M34" s="19"/>
      <c r="N34" s="19"/>
    </row>
    <row r="35" spans="1:14" customFormat="1">
      <c r="A35" s="20" t="str">
        <f>IF(BASE!B35=0,"",BASE!B35)</f>
        <v/>
      </c>
      <c r="B35" s="19" t="str">
        <f>IF(BASE!C35=0,"",BASE!C35)</f>
        <v/>
      </c>
      <c r="C35" s="19" t="str">
        <f>IF(BASE!D35=0,"",TRIM(BASE!D35))</f>
        <v/>
      </c>
      <c r="D35" s="21" t="str">
        <f>IFERROR(VLOOKUP(A35,AUX!A:B,2,0),"")</f>
        <v/>
      </c>
      <c r="E35" s="19" t="str">
        <f t="shared" si="1"/>
        <v/>
      </c>
      <c r="F35" s="19" t="str">
        <f t="shared" si="10"/>
        <v/>
      </c>
      <c r="G35" s="19" t="str">
        <f t="shared" si="2"/>
        <v/>
      </c>
      <c r="H35" s="19" t="str">
        <f t="shared" si="3"/>
        <v/>
      </c>
      <c r="I35" s="18" t="str">
        <f t="shared" si="11"/>
        <v/>
      </c>
      <c r="J35" s="18" t="str">
        <f t="shared" si="12"/>
        <v/>
      </c>
      <c r="K35" s="19" t="str">
        <f t="shared" si="6"/>
        <v/>
      </c>
      <c r="L35" s="19"/>
      <c r="M35" s="19"/>
      <c r="N35" s="19"/>
    </row>
    <row r="36" spans="1:14" customFormat="1">
      <c r="A36" s="20" t="str">
        <f>IF(BASE!B36=0,"",BASE!B36)</f>
        <v/>
      </c>
      <c r="B36" s="19" t="str">
        <f>IF(BASE!C36=0,"",BASE!C36)</f>
        <v/>
      </c>
      <c r="C36" s="19" t="str">
        <f>IF(BASE!D36=0,"",TRIM(BASE!D36))</f>
        <v/>
      </c>
      <c r="D36" s="21" t="str">
        <f>IFERROR(VLOOKUP(A36,AUX!A:B,2,0),"")</f>
        <v/>
      </c>
      <c r="E36" s="19" t="str">
        <f t="shared" si="1"/>
        <v/>
      </c>
      <c r="F36" s="19" t="str">
        <f t="shared" si="10"/>
        <v/>
      </c>
      <c r="G36" s="19" t="str">
        <f t="shared" si="2"/>
        <v/>
      </c>
      <c r="H36" s="19" t="str">
        <f t="shared" si="3"/>
        <v/>
      </c>
      <c r="I36" s="18" t="str">
        <f t="shared" si="11"/>
        <v/>
      </c>
      <c r="J36" s="18" t="str">
        <f t="shared" si="12"/>
        <v/>
      </c>
      <c r="K36" s="19" t="str">
        <f t="shared" si="6"/>
        <v/>
      </c>
      <c r="L36" s="19"/>
      <c r="M36" s="19"/>
      <c r="N36" s="19"/>
    </row>
    <row r="37" spans="1:14" customFormat="1">
      <c r="A37" s="20" t="str">
        <f>IF(BASE!B37=0,"",BASE!B37)</f>
        <v/>
      </c>
      <c r="B37" s="19" t="str">
        <f>IF(BASE!C37=0,"",BASE!C37)</f>
        <v/>
      </c>
      <c r="C37" s="19" t="str">
        <f>IF(BASE!D37=0,"",TRIM(BASE!D37))</f>
        <v/>
      </c>
      <c r="D37" s="21" t="str">
        <f>IFERROR(VLOOKUP(A37,AUX!A:B,2,0),"")</f>
        <v/>
      </c>
      <c r="E37" s="19" t="str">
        <f t="shared" si="1"/>
        <v/>
      </c>
      <c r="F37" s="19" t="str">
        <f t="shared" si="10"/>
        <v/>
      </c>
      <c r="G37" s="19" t="str">
        <f t="shared" si="2"/>
        <v/>
      </c>
      <c r="H37" s="19" t="str">
        <f t="shared" si="3"/>
        <v/>
      </c>
      <c r="I37" s="18" t="str">
        <f t="shared" si="11"/>
        <v/>
      </c>
      <c r="J37" s="18" t="str">
        <f t="shared" si="12"/>
        <v/>
      </c>
      <c r="K37" s="19" t="str">
        <f t="shared" si="6"/>
        <v/>
      </c>
      <c r="L37" s="19"/>
      <c r="M37" s="19"/>
      <c r="N37" s="19"/>
    </row>
    <row r="38" spans="1:14" customFormat="1">
      <c r="A38" s="20" t="str">
        <f>IF(BASE!B38=0,"",BASE!B38)</f>
        <v/>
      </c>
      <c r="B38" s="19" t="str">
        <f>IF(BASE!C38=0,"",BASE!C38)</f>
        <v/>
      </c>
      <c r="C38" s="19" t="str">
        <f>IF(BASE!D38=0,"",TRIM(BASE!D38))</f>
        <v/>
      </c>
      <c r="D38" s="21" t="str">
        <f>IFERROR(VLOOKUP(A38,AUX!A:B,2,0),"")</f>
        <v/>
      </c>
      <c r="E38" s="19" t="str">
        <f t="shared" si="1"/>
        <v/>
      </c>
      <c r="F38" s="19" t="str">
        <f t="shared" si="10"/>
        <v/>
      </c>
      <c r="G38" s="19" t="str">
        <f t="shared" si="2"/>
        <v/>
      </c>
      <c r="H38" s="19" t="str">
        <f t="shared" si="3"/>
        <v/>
      </c>
      <c r="I38" s="18" t="str">
        <f t="shared" si="11"/>
        <v/>
      </c>
      <c r="J38" s="18" t="str">
        <f t="shared" si="12"/>
        <v/>
      </c>
      <c r="K38" s="19" t="str">
        <f t="shared" si="6"/>
        <v/>
      </c>
      <c r="L38" s="19"/>
      <c r="M38" s="19"/>
      <c r="N38" s="19"/>
    </row>
    <row r="39" spans="1:14" customFormat="1">
      <c r="A39" s="20" t="str">
        <f>IF(BASE!B39=0,"",BASE!B39)</f>
        <v/>
      </c>
      <c r="B39" s="19" t="str">
        <f>IF(BASE!C39=0,"",BASE!C39)</f>
        <v/>
      </c>
      <c r="C39" s="19" t="str">
        <f>IF(BASE!D39=0,"",TRIM(BASE!D39))</f>
        <v/>
      </c>
      <c r="D39" s="21" t="str">
        <f>IFERROR(VLOOKUP(A39,AUX!A:B,2,0),"")</f>
        <v/>
      </c>
      <c r="E39" s="19" t="str">
        <f t="shared" si="1"/>
        <v/>
      </c>
      <c r="F39" s="19" t="str">
        <f t="shared" si="10"/>
        <v/>
      </c>
      <c r="G39" s="19" t="str">
        <f t="shared" si="2"/>
        <v/>
      </c>
      <c r="H39" s="19" t="str">
        <f t="shared" si="3"/>
        <v/>
      </c>
      <c r="I39" s="18" t="str">
        <f t="shared" si="11"/>
        <v/>
      </c>
      <c r="J39" s="18" t="str">
        <f t="shared" si="12"/>
        <v/>
      </c>
      <c r="K39" s="19" t="str">
        <f t="shared" si="6"/>
        <v/>
      </c>
      <c r="L39" s="19"/>
      <c r="M39" s="19"/>
      <c r="N39" s="19"/>
    </row>
    <row r="40" spans="1:14" customFormat="1">
      <c r="A40" s="20" t="str">
        <f>IF(BASE!B40=0,"",BASE!B40)</f>
        <v/>
      </c>
      <c r="B40" s="19" t="str">
        <f>IF(BASE!C40=0,"",BASE!C40)</f>
        <v/>
      </c>
      <c r="C40" s="19" t="str">
        <f>IF(BASE!D40=0,"",TRIM(BASE!D40))</f>
        <v/>
      </c>
      <c r="D40" s="21" t="str">
        <f>IFERROR(VLOOKUP(A40,AUX!A:B,2,0),"")</f>
        <v/>
      </c>
      <c r="E40" s="19" t="str">
        <f t="shared" si="1"/>
        <v/>
      </c>
      <c r="F40" s="19" t="str">
        <f t="shared" si="10"/>
        <v/>
      </c>
      <c r="G40" s="19" t="str">
        <f t="shared" si="2"/>
        <v/>
      </c>
      <c r="H40" s="19" t="str">
        <f t="shared" si="3"/>
        <v/>
      </c>
      <c r="I40" s="18" t="str">
        <f t="shared" si="11"/>
        <v/>
      </c>
      <c r="J40" s="18" t="str">
        <f t="shared" si="12"/>
        <v/>
      </c>
      <c r="K40" s="19" t="str">
        <f t="shared" si="6"/>
        <v/>
      </c>
      <c r="L40" s="19"/>
      <c r="M40" s="19"/>
      <c r="N40" s="19"/>
    </row>
    <row r="41" spans="1:14" customFormat="1">
      <c r="A41" s="20" t="str">
        <f>IF(BASE!B41=0,"",BASE!B41)</f>
        <v/>
      </c>
      <c r="B41" s="19" t="str">
        <f>IF(BASE!C41=0,"",BASE!C41)</f>
        <v/>
      </c>
      <c r="C41" s="19" t="str">
        <f>IF(BASE!D41=0,"",TRIM(BASE!D41))</f>
        <v/>
      </c>
      <c r="D41" s="21" t="str">
        <f>IFERROR(VLOOKUP(A41,AUX!A:B,2,0),"")</f>
        <v/>
      </c>
      <c r="E41" s="19" t="str">
        <f t="shared" si="1"/>
        <v/>
      </c>
      <c r="F41" s="19" t="str">
        <f t="shared" si="10"/>
        <v/>
      </c>
      <c r="G41" s="19" t="str">
        <f t="shared" si="2"/>
        <v/>
      </c>
      <c r="H41" s="19" t="str">
        <f t="shared" si="3"/>
        <v/>
      </c>
      <c r="I41" s="18" t="str">
        <f t="shared" si="11"/>
        <v/>
      </c>
      <c r="J41" s="18" t="str">
        <f t="shared" si="12"/>
        <v/>
      </c>
      <c r="K41" s="19" t="str">
        <f t="shared" si="6"/>
        <v/>
      </c>
      <c r="L41" s="19"/>
      <c r="M41" s="19"/>
      <c r="N41" s="19"/>
    </row>
    <row r="42" spans="1:14" customFormat="1">
      <c r="A42" s="20" t="str">
        <f>IF(BASE!B42=0,"",BASE!B42)</f>
        <v/>
      </c>
      <c r="B42" s="19" t="str">
        <f>IF(BASE!C42=0,"",BASE!C42)</f>
        <v/>
      </c>
      <c r="C42" s="19" t="str">
        <f>IF(BASE!D42=0,"",TRIM(BASE!D42))</f>
        <v/>
      </c>
      <c r="D42" s="21" t="str">
        <f>IFERROR(VLOOKUP(A42,AUX!A:B,2,0),"")</f>
        <v/>
      </c>
      <c r="E42" s="19" t="str">
        <f t="shared" si="1"/>
        <v/>
      </c>
      <c r="F42" s="19" t="str">
        <f t="shared" si="10"/>
        <v/>
      </c>
      <c r="G42" s="19" t="str">
        <f t="shared" si="2"/>
        <v/>
      </c>
      <c r="H42" s="19" t="str">
        <f t="shared" si="3"/>
        <v/>
      </c>
      <c r="I42" s="18" t="str">
        <f t="shared" si="11"/>
        <v/>
      </c>
      <c r="J42" s="18" t="str">
        <f t="shared" si="12"/>
        <v/>
      </c>
      <c r="K42" s="19" t="str">
        <f t="shared" si="6"/>
        <v/>
      </c>
      <c r="L42" s="19"/>
      <c r="M42" s="19"/>
      <c r="N42" s="19"/>
    </row>
    <row r="43" spans="1:14" customFormat="1">
      <c r="A43" s="20" t="str">
        <f>IF(BASE!B43=0,"",BASE!B43)</f>
        <v/>
      </c>
      <c r="B43" s="19" t="str">
        <f>IF(BASE!C43=0,"",BASE!C43)</f>
        <v/>
      </c>
      <c r="C43" s="19" t="str">
        <f>IF(BASE!D43=0,"",TRIM(BASE!D43))</f>
        <v/>
      </c>
      <c r="D43" s="21" t="str">
        <f>IFERROR(VLOOKUP(A43,AUX!A:B,2,0),"")</f>
        <v/>
      </c>
      <c r="E43" s="19" t="str">
        <f t="shared" si="1"/>
        <v/>
      </c>
      <c r="F43" s="19" t="str">
        <f t="shared" si="10"/>
        <v/>
      </c>
      <c r="G43" s="19" t="str">
        <f t="shared" si="2"/>
        <v/>
      </c>
      <c r="H43" s="19" t="str">
        <f t="shared" si="3"/>
        <v/>
      </c>
      <c r="I43" s="18" t="str">
        <f t="shared" si="11"/>
        <v/>
      </c>
      <c r="J43" s="18" t="str">
        <f t="shared" si="12"/>
        <v/>
      </c>
      <c r="K43" s="19" t="str">
        <f t="shared" si="6"/>
        <v/>
      </c>
      <c r="L43" s="19"/>
      <c r="M43" s="19"/>
      <c r="N43" s="19"/>
    </row>
    <row r="44" spans="1:14" customFormat="1">
      <c r="A44" s="20" t="str">
        <f>IF(BASE!B44=0,"",BASE!B44)</f>
        <v/>
      </c>
      <c r="B44" s="19" t="str">
        <f>IF(BASE!C44=0,"",BASE!C44)</f>
        <v/>
      </c>
      <c r="C44" s="19" t="str">
        <f>IF(BASE!D44=0,"",TRIM(BASE!D44))</f>
        <v/>
      </c>
      <c r="D44" s="21" t="str">
        <f>IFERROR(VLOOKUP(A44,AUX!A:B,2,0),"")</f>
        <v/>
      </c>
      <c r="E44" s="19" t="str">
        <f t="shared" si="1"/>
        <v/>
      </c>
      <c r="F44" s="19" t="str">
        <f t="shared" si="10"/>
        <v/>
      </c>
      <c r="G44" s="19" t="str">
        <f t="shared" si="2"/>
        <v/>
      </c>
      <c r="H44" s="19" t="str">
        <f t="shared" si="3"/>
        <v/>
      </c>
      <c r="I44" s="18" t="str">
        <f t="shared" si="11"/>
        <v/>
      </c>
      <c r="J44" s="18" t="str">
        <f t="shared" si="12"/>
        <v/>
      </c>
      <c r="K44" s="19" t="str">
        <f t="shared" si="6"/>
        <v/>
      </c>
      <c r="L44" s="19"/>
      <c r="M44" s="19"/>
      <c r="N44" s="19"/>
    </row>
    <row r="45" spans="1:14" customFormat="1">
      <c r="A45" s="20" t="str">
        <f>IF(BASE!B45=0,"",BASE!B45)</f>
        <v/>
      </c>
      <c r="B45" s="19" t="str">
        <f>IF(BASE!C45=0,"",BASE!C45)</f>
        <v/>
      </c>
      <c r="C45" s="19" t="str">
        <f>IF(BASE!D45=0,"",TRIM(BASE!D45))</f>
        <v/>
      </c>
      <c r="D45" s="21" t="str">
        <f>IFERROR(VLOOKUP(A45,AUX!A:B,2,0),"")</f>
        <v/>
      </c>
      <c r="E45" s="19" t="str">
        <f t="shared" si="1"/>
        <v/>
      </c>
      <c r="F45" s="19" t="str">
        <f t="shared" si="10"/>
        <v/>
      </c>
      <c r="G45" s="19" t="str">
        <f t="shared" si="2"/>
        <v/>
      </c>
      <c r="H45" s="19" t="str">
        <f t="shared" si="3"/>
        <v/>
      </c>
      <c r="I45" s="18" t="str">
        <f t="shared" si="11"/>
        <v/>
      </c>
      <c r="J45" s="18" t="str">
        <f t="shared" si="12"/>
        <v/>
      </c>
      <c r="K45" s="19" t="str">
        <f t="shared" si="6"/>
        <v/>
      </c>
      <c r="L45" s="19"/>
      <c r="M45" s="19"/>
      <c r="N45" s="19"/>
    </row>
    <row r="46" spans="1:14" customFormat="1">
      <c r="A46" s="20" t="str">
        <f>IF(BASE!B46=0,"",BASE!B46)</f>
        <v/>
      </c>
      <c r="B46" s="19" t="str">
        <f>IF(BASE!C46=0,"",BASE!C46)</f>
        <v/>
      </c>
      <c r="C46" s="19" t="str">
        <f>IF(BASE!D46=0,"",TRIM(BASE!D46))</f>
        <v/>
      </c>
      <c r="D46" s="21" t="str">
        <f>IFERROR(VLOOKUP(A46,AUX!A:B,2,0),"")</f>
        <v/>
      </c>
      <c r="E46" s="19" t="str">
        <f t="shared" si="1"/>
        <v/>
      </c>
      <c r="F46" s="19" t="str">
        <f t="shared" si="10"/>
        <v/>
      </c>
      <c r="G46" s="19" t="str">
        <f t="shared" si="2"/>
        <v/>
      </c>
      <c r="H46" s="19" t="str">
        <f t="shared" si="3"/>
        <v/>
      </c>
      <c r="I46" s="18" t="str">
        <f t="shared" si="11"/>
        <v/>
      </c>
      <c r="J46" s="18" t="str">
        <f t="shared" si="12"/>
        <v/>
      </c>
      <c r="K46" s="19" t="str">
        <f t="shared" si="6"/>
        <v/>
      </c>
      <c r="L46" s="19"/>
      <c r="M46" s="19"/>
      <c r="N46" s="19"/>
    </row>
    <row r="47" spans="1:14" customFormat="1">
      <c r="A47" s="20" t="str">
        <f>IF(BASE!B47=0,"",BASE!B47)</f>
        <v/>
      </c>
      <c r="B47" s="19" t="str">
        <f>IF(BASE!C47=0,"",BASE!C47)</f>
        <v/>
      </c>
      <c r="C47" s="19" t="str">
        <f>IF(BASE!D47=0,"",TRIM(BASE!D47))</f>
        <v/>
      </c>
      <c r="D47" s="21" t="str">
        <f>IFERROR(VLOOKUP(A47,AUX!A:B,2,0),"")</f>
        <v/>
      </c>
      <c r="E47" s="19" t="str">
        <f t="shared" si="1"/>
        <v/>
      </c>
      <c r="F47" s="19" t="str">
        <f t="shared" si="10"/>
        <v/>
      </c>
      <c r="G47" s="19" t="str">
        <f t="shared" si="2"/>
        <v/>
      </c>
      <c r="H47" s="19" t="str">
        <f t="shared" si="3"/>
        <v/>
      </c>
      <c r="I47" s="18" t="str">
        <f t="shared" si="11"/>
        <v/>
      </c>
      <c r="J47" s="18" t="str">
        <f t="shared" si="12"/>
        <v/>
      </c>
      <c r="K47" s="19" t="str">
        <f t="shared" si="6"/>
        <v/>
      </c>
      <c r="L47" s="19"/>
      <c r="M47" s="19"/>
      <c r="N47" s="19"/>
    </row>
    <row r="48" spans="1:14" customFormat="1">
      <c r="A48" s="20" t="str">
        <f>IF(BASE!B48=0,"",BASE!B48)</f>
        <v/>
      </c>
      <c r="B48" s="19" t="str">
        <f>IF(BASE!C48=0,"",BASE!C48)</f>
        <v/>
      </c>
      <c r="C48" s="19" t="str">
        <f>IF(BASE!D48=0,"",TRIM(BASE!D48))</f>
        <v/>
      </c>
      <c r="D48" s="21" t="str">
        <f>IFERROR(VLOOKUP(A48,AUX!A:B,2,0),"")</f>
        <v/>
      </c>
      <c r="E48" s="19" t="str">
        <f t="shared" si="1"/>
        <v/>
      </c>
      <c r="F48" s="19" t="str">
        <f t="shared" si="10"/>
        <v/>
      </c>
      <c r="G48" s="19" t="str">
        <f t="shared" si="2"/>
        <v/>
      </c>
      <c r="H48" s="19" t="str">
        <f t="shared" si="3"/>
        <v/>
      </c>
      <c r="I48" s="18" t="str">
        <f t="shared" si="11"/>
        <v/>
      </c>
      <c r="J48" s="18" t="str">
        <f t="shared" si="12"/>
        <v/>
      </c>
      <c r="K48" s="19" t="str">
        <f t="shared" si="6"/>
        <v/>
      </c>
      <c r="L48" s="19"/>
      <c r="M48" s="19"/>
      <c r="N48" s="19"/>
    </row>
    <row r="49" spans="1:14" customFormat="1">
      <c r="A49" s="20" t="str">
        <f>IF(BASE!B49=0,"",BASE!B49)</f>
        <v/>
      </c>
      <c r="B49" s="19" t="str">
        <f>IF(BASE!C49=0,"",BASE!C49)</f>
        <v/>
      </c>
      <c r="C49" s="19" t="str">
        <f>IF(BASE!D49=0,"",TRIM(BASE!D49))</f>
        <v/>
      </c>
      <c r="D49" s="21" t="str">
        <f>IFERROR(VLOOKUP(A49,AUX!A:B,2,0),"")</f>
        <v/>
      </c>
      <c r="E49" s="19" t="str">
        <f t="shared" si="1"/>
        <v/>
      </c>
      <c r="F49" s="19" t="str">
        <f t="shared" si="10"/>
        <v/>
      </c>
      <c r="G49" s="19" t="str">
        <f t="shared" si="2"/>
        <v/>
      </c>
      <c r="H49" s="19" t="str">
        <f t="shared" si="3"/>
        <v/>
      </c>
      <c r="I49" s="18" t="str">
        <f t="shared" si="11"/>
        <v/>
      </c>
      <c r="J49" s="18" t="str">
        <f t="shared" si="12"/>
        <v/>
      </c>
      <c r="K49" s="19" t="str">
        <f t="shared" si="6"/>
        <v/>
      </c>
      <c r="L49" s="19"/>
      <c r="M49" s="19"/>
      <c r="N49" s="19"/>
    </row>
    <row r="50" spans="1:14" customFormat="1">
      <c r="A50" s="20" t="str">
        <f>IF(BASE!B50=0,"",BASE!B50)</f>
        <v/>
      </c>
      <c r="B50" s="19" t="str">
        <f>IF(BASE!C50=0,"",BASE!C50)</f>
        <v/>
      </c>
      <c r="C50" s="19" t="str">
        <f>IF(BASE!D50=0,"",TRIM(BASE!D50))</f>
        <v/>
      </c>
      <c r="D50" s="21" t="str">
        <f>IFERROR(VLOOKUP(A50,AUX!A:B,2,0),"")</f>
        <v/>
      </c>
      <c r="E50" s="19" t="str">
        <f t="shared" si="1"/>
        <v/>
      </c>
      <c r="F50" s="19" t="str">
        <f t="shared" si="10"/>
        <v/>
      </c>
      <c r="G50" s="19" t="str">
        <f t="shared" si="2"/>
        <v/>
      </c>
      <c r="H50" s="19" t="str">
        <f t="shared" si="3"/>
        <v/>
      </c>
      <c r="I50" s="18" t="str">
        <f t="shared" si="11"/>
        <v/>
      </c>
      <c r="J50" s="18" t="str">
        <f t="shared" si="12"/>
        <v/>
      </c>
      <c r="K50" s="19" t="str">
        <f t="shared" si="6"/>
        <v/>
      </c>
      <c r="L50" s="19"/>
      <c r="M50" s="19"/>
      <c r="N50" s="19"/>
    </row>
    <row r="51" spans="1:14" customFormat="1">
      <c r="A51" s="20" t="str">
        <f>IF(BASE!B51=0,"",BASE!B51)</f>
        <v/>
      </c>
      <c r="B51" s="19" t="str">
        <f>IF(BASE!C51=0,"",BASE!C51)</f>
        <v/>
      </c>
      <c r="C51" s="19" t="str">
        <f>IF(BASE!D51=0,"",TRIM(BASE!D51))</f>
        <v/>
      </c>
      <c r="D51" s="21" t="str">
        <f>IFERROR(VLOOKUP(A51,AUX!A:B,2,0),"")</f>
        <v/>
      </c>
      <c r="E51" s="19" t="str">
        <f t="shared" si="1"/>
        <v/>
      </c>
      <c r="F51" s="19" t="str">
        <f t="shared" si="10"/>
        <v/>
      </c>
      <c r="G51" s="19" t="str">
        <f t="shared" si="2"/>
        <v/>
      </c>
      <c r="H51" s="19" t="str">
        <f t="shared" si="3"/>
        <v/>
      </c>
      <c r="I51" s="18" t="str">
        <f t="shared" si="11"/>
        <v/>
      </c>
      <c r="J51" s="18" t="str">
        <f t="shared" si="12"/>
        <v/>
      </c>
      <c r="K51" s="19" t="str">
        <f t="shared" si="6"/>
        <v/>
      </c>
      <c r="L51" s="19"/>
      <c r="M51" s="19"/>
      <c r="N51" s="19"/>
    </row>
    <row r="52" spans="1:14" customFormat="1">
      <c r="A52" s="20" t="str">
        <f>IF(BASE!B52=0,"",BASE!B52)</f>
        <v/>
      </c>
      <c r="B52" s="19" t="str">
        <f>IF(BASE!C52=0,"",BASE!C52)</f>
        <v/>
      </c>
      <c r="C52" s="19" t="str">
        <f>IF(BASE!D52=0,"",TRIM(BASE!D52))</f>
        <v/>
      </c>
      <c r="D52" s="21" t="str">
        <f>IFERROR(VLOOKUP(A52,AUX!A:B,2,0),"")</f>
        <v/>
      </c>
      <c r="E52" s="19" t="str">
        <f t="shared" si="1"/>
        <v/>
      </c>
      <c r="F52" s="19" t="str">
        <f t="shared" si="10"/>
        <v/>
      </c>
      <c r="G52" s="19" t="str">
        <f t="shared" si="2"/>
        <v/>
      </c>
      <c r="H52" s="19" t="str">
        <f t="shared" si="3"/>
        <v/>
      </c>
      <c r="I52" s="18" t="str">
        <f t="shared" si="11"/>
        <v/>
      </c>
      <c r="J52" s="18" t="str">
        <f t="shared" si="12"/>
        <v/>
      </c>
      <c r="K52" s="19" t="str">
        <f t="shared" si="6"/>
        <v/>
      </c>
      <c r="L52" s="19"/>
      <c r="M52" s="19"/>
      <c r="N52" s="19"/>
    </row>
    <row r="53" spans="1:14" customFormat="1">
      <c r="A53" s="20" t="str">
        <f>IF(BASE!B53=0,"",BASE!B53)</f>
        <v/>
      </c>
      <c r="B53" s="19" t="str">
        <f>IF(BASE!C53=0,"",BASE!C53)</f>
        <v/>
      </c>
      <c r="C53" s="19" t="str">
        <f>IF(BASE!D53=0,"",TRIM(BASE!D53))</f>
        <v/>
      </c>
      <c r="D53" s="21" t="str">
        <f>IFERROR(VLOOKUP(A53,AUX!A:B,2,0),"")</f>
        <v/>
      </c>
      <c r="E53" s="19" t="str">
        <f t="shared" si="1"/>
        <v/>
      </c>
      <c r="F53" s="19" t="str">
        <f t="shared" si="10"/>
        <v/>
      </c>
      <c r="G53" s="19" t="str">
        <f t="shared" si="2"/>
        <v/>
      </c>
      <c r="H53" s="19" t="str">
        <f t="shared" si="3"/>
        <v/>
      </c>
      <c r="I53" s="18" t="str">
        <f t="shared" si="11"/>
        <v/>
      </c>
      <c r="J53" s="18" t="str">
        <f t="shared" si="12"/>
        <v/>
      </c>
      <c r="K53" s="19" t="str">
        <f t="shared" si="6"/>
        <v/>
      </c>
      <c r="L53" s="19"/>
      <c r="M53" s="19"/>
      <c r="N53" s="19"/>
    </row>
    <row r="54" spans="1:14" customFormat="1">
      <c r="A54" s="20" t="str">
        <f>IF(BASE!B54=0,"",BASE!B54)</f>
        <v/>
      </c>
      <c r="B54" s="19" t="str">
        <f>IF(BASE!C54=0,"",BASE!C54)</f>
        <v/>
      </c>
      <c r="C54" s="19" t="str">
        <f>IF(BASE!D54=0,"",TRIM(BASE!D54))</f>
        <v/>
      </c>
      <c r="D54" s="21" t="str">
        <f>IFERROR(VLOOKUP(A54,AUX!A:B,2,0),"")</f>
        <v/>
      </c>
      <c r="E54" s="19" t="str">
        <f t="shared" si="1"/>
        <v/>
      </c>
      <c r="F54" s="19" t="str">
        <f t="shared" si="10"/>
        <v/>
      </c>
      <c r="G54" s="19" t="str">
        <f t="shared" si="2"/>
        <v/>
      </c>
      <c r="H54" s="19" t="str">
        <f t="shared" si="3"/>
        <v/>
      </c>
      <c r="I54" s="18" t="str">
        <f t="shared" si="11"/>
        <v/>
      </c>
      <c r="J54" s="18" t="str">
        <f t="shared" si="12"/>
        <v/>
      </c>
      <c r="K54" s="19" t="str">
        <f t="shared" si="6"/>
        <v/>
      </c>
      <c r="L54" s="19"/>
      <c r="M54" s="19"/>
      <c r="N54" s="19"/>
    </row>
    <row r="55" spans="1:14" customFormat="1">
      <c r="A55" s="20" t="str">
        <f>IF(BASE!B55=0,"",BASE!B55)</f>
        <v/>
      </c>
      <c r="B55" s="19" t="str">
        <f>IF(BASE!C55=0,"",BASE!C55)</f>
        <v/>
      </c>
      <c r="C55" s="19" t="str">
        <f>IF(BASE!D55=0,"",TRIM(BASE!D55))</f>
        <v/>
      </c>
      <c r="D55" s="21" t="str">
        <f>IFERROR(VLOOKUP(A55,AUX!A:B,2,0),"")</f>
        <v/>
      </c>
      <c r="E55" s="19" t="str">
        <f t="shared" si="1"/>
        <v/>
      </c>
      <c r="F55" s="19" t="str">
        <f t="shared" si="10"/>
        <v/>
      </c>
      <c r="G55" s="19" t="str">
        <f t="shared" si="2"/>
        <v/>
      </c>
      <c r="H55" s="19" t="str">
        <f t="shared" si="3"/>
        <v/>
      </c>
      <c r="I55" s="18" t="str">
        <f t="shared" si="11"/>
        <v/>
      </c>
      <c r="J55" s="18" t="str">
        <f t="shared" si="12"/>
        <v/>
      </c>
      <c r="K55" s="19" t="str">
        <f t="shared" si="6"/>
        <v/>
      </c>
      <c r="L55" s="19"/>
      <c r="M55" s="19"/>
      <c r="N55" s="19"/>
    </row>
    <row r="56" spans="1:14" customFormat="1">
      <c r="A56" s="20" t="str">
        <f>IF(BASE!B56=0,"",BASE!B56)</f>
        <v/>
      </c>
      <c r="B56" s="19" t="str">
        <f>IF(BASE!C56=0,"",BASE!C56)</f>
        <v/>
      </c>
      <c r="C56" s="19" t="str">
        <f>IF(BASE!D56=0,"",TRIM(BASE!D56))</f>
        <v/>
      </c>
      <c r="D56" s="21" t="str">
        <f>IFERROR(VLOOKUP(A56,AUX!A:B,2,0),"")</f>
        <v/>
      </c>
      <c r="E56" s="19" t="str">
        <f t="shared" si="1"/>
        <v/>
      </c>
      <c r="F56" s="19" t="str">
        <f t="shared" si="10"/>
        <v/>
      </c>
      <c r="G56" s="19" t="str">
        <f t="shared" si="2"/>
        <v/>
      </c>
      <c r="H56" s="19" t="str">
        <f t="shared" si="3"/>
        <v/>
      </c>
      <c r="I56" s="18" t="str">
        <f t="shared" si="11"/>
        <v/>
      </c>
      <c r="J56" s="18" t="str">
        <f t="shared" si="12"/>
        <v/>
      </c>
      <c r="K56" s="19" t="str">
        <f t="shared" si="6"/>
        <v/>
      </c>
      <c r="L56" s="19"/>
      <c r="M56" s="19"/>
      <c r="N56" s="19"/>
    </row>
    <row r="57" spans="1:14" customFormat="1">
      <c r="A57" s="20" t="str">
        <f>IF(BASE!B57=0,"",BASE!B57)</f>
        <v/>
      </c>
      <c r="B57" s="19" t="str">
        <f>IF(BASE!C57=0,"",BASE!C57)</f>
        <v/>
      </c>
      <c r="C57" s="19" t="str">
        <f>IF(BASE!D57=0,"",TRIM(BASE!D57))</f>
        <v/>
      </c>
      <c r="D57" s="21" t="str">
        <f>IFERROR(VLOOKUP(A57,AUX!A:B,2,0),"")</f>
        <v/>
      </c>
      <c r="E57" s="19" t="str">
        <f t="shared" si="1"/>
        <v/>
      </c>
      <c r="F57" s="19" t="str">
        <f t="shared" si="10"/>
        <v/>
      </c>
      <c r="G57" s="19" t="str">
        <f t="shared" si="2"/>
        <v/>
      </c>
      <c r="H57" s="19" t="str">
        <f t="shared" si="3"/>
        <v/>
      </c>
      <c r="I57" s="18" t="str">
        <f t="shared" si="11"/>
        <v/>
      </c>
      <c r="J57" s="18" t="str">
        <f t="shared" si="12"/>
        <v/>
      </c>
      <c r="K57" s="19" t="str">
        <f t="shared" si="6"/>
        <v/>
      </c>
      <c r="L57" s="19"/>
      <c r="M57" s="19"/>
      <c r="N57" s="19"/>
    </row>
    <row r="58" spans="1:14" customFormat="1">
      <c r="A58" s="20" t="str">
        <f>IF(BASE!B58=0,"",BASE!B58)</f>
        <v/>
      </c>
      <c r="B58" s="19" t="str">
        <f>IF(BASE!C58=0,"",BASE!C58)</f>
        <v/>
      </c>
      <c r="C58" s="19" t="str">
        <f>IF(BASE!D58=0,"",TRIM(BASE!D58))</f>
        <v/>
      </c>
      <c r="D58" s="21" t="str">
        <f>IFERROR(VLOOKUP(A58,AUX!A:B,2,0),"")</f>
        <v/>
      </c>
      <c r="E58" s="19" t="str">
        <f t="shared" si="1"/>
        <v/>
      </c>
      <c r="F58" s="19" t="str">
        <f t="shared" si="10"/>
        <v/>
      </c>
      <c r="G58" s="19" t="str">
        <f t="shared" si="2"/>
        <v/>
      </c>
      <c r="H58" s="19" t="str">
        <f t="shared" si="3"/>
        <v/>
      </c>
      <c r="I58" s="18" t="str">
        <f t="shared" si="11"/>
        <v/>
      </c>
      <c r="J58" s="18" t="str">
        <f t="shared" si="12"/>
        <v/>
      </c>
      <c r="K58" s="19" t="str">
        <f t="shared" si="6"/>
        <v/>
      </c>
      <c r="L58" s="19"/>
      <c r="M58" s="19"/>
      <c r="N58" s="19"/>
    </row>
    <row r="59" spans="1:14" customFormat="1">
      <c r="A59" s="20" t="str">
        <f>IF(BASE!B59=0,"",BASE!B59)</f>
        <v/>
      </c>
      <c r="B59" s="19" t="str">
        <f>IF(BASE!C59=0,"",BASE!C59)</f>
        <v/>
      </c>
      <c r="C59" s="19" t="str">
        <f>IF(BASE!D59=0,"",TRIM(BASE!D59))</f>
        <v/>
      </c>
      <c r="D59" s="21" t="str">
        <f>IFERROR(VLOOKUP(A59,AUX!A:B,2,0),"")</f>
        <v/>
      </c>
      <c r="E59" s="19" t="str">
        <f t="shared" si="1"/>
        <v/>
      </c>
      <c r="F59" s="19" t="str">
        <f t="shared" si="10"/>
        <v/>
      </c>
      <c r="G59" s="19" t="str">
        <f t="shared" si="2"/>
        <v/>
      </c>
      <c r="H59" s="19" t="str">
        <f t="shared" si="3"/>
        <v/>
      </c>
      <c r="I59" s="18" t="str">
        <f t="shared" si="11"/>
        <v/>
      </c>
      <c r="J59" s="18" t="str">
        <f t="shared" si="12"/>
        <v/>
      </c>
      <c r="K59" s="19" t="str">
        <f t="shared" si="6"/>
        <v/>
      </c>
      <c r="L59" s="19"/>
      <c r="M59" s="19"/>
      <c r="N59" s="19"/>
    </row>
    <row r="60" spans="1:14" customFormat="1">
      <c r="A60" s="20" t="str">
        <f>IF(BASE!B60=0,"",BASE!B60)</f>
        <v/>
      </c>
      <c r="B60" s="19" t="str">
        <f>IF(BASE!C60=0,"",BASE!C60)</f>
        <v/>
      </c>
      <c r="C60" s="19" t="str">
        <f>IF(BASE!D60=0,"",TRIM(BASE!D60))</f>
        <v/>
      </c>
      <c r="D60" s="21" t="str">
        <f>IFERROR(VLOOKUP(A60,AUX!A:B,2,0),"")</f>
        <v/>
      </c>
      <c r="E60" s="19" t="str">
        <f t="shared" si="1"/>
        <v/>
      </c>
      <c r="F60" s="19" t="str">
        <f t="shared" si="10"/>
        <v/>
      </c>
      <c r="G60" s="19" t="str">
        <f t="shared" si="2"/>
        <v/>
      </c>
      <c r="H60" s="19" t="str">
        <f t="shared" si="3"/>
        <v/>
      </c>
      <c r="I60" s="18" t="str">
        <f t="shared" si="11"/>
        <v/>
      </c>
      <c r="J60" s="18" t="str">
        <f t="shared" si="12"/>
        <v/>
      </c>
      <c r="K60" s="19" t="str">
        <f t="shared" si="6"/>
        <v/>
      </c>
      <c r="L60" s="19"/>
      <c r="M60" s="19"/>
      <c r="N60" s="19"/>
    </row>
    <row r="61" spans="1:14" customFormat="1">
      <c r="A61" s="20" t="str">
        <f>IF(BASE!B61=0,"",BASE!B61)</f>
        <v/>
      </c>
      <c r="B61" s="19" t="str">
        <f>IF(BASE!C61=0,"",BASE!C61)</f>
        <v/>
      </c>
      <c r="C61" s="19" t="str">
        <f>IF(BASE!D61=0,"",TRIM(BASE!D61))</f>
        <v/>
      </c>
      <c r="D61" s="21" t="str">
        <f>IFERROR(VLOOKUP(A61,AUX!A:B,2,0),"")</f>
        <v/>
      </c>
      <c r="E61" s="19" t="str">
        <f t="shared" si="1"/>
        <v/>
      </c>
      <c r="F61" s="19" t="str">
        <f t="shared" si="10"/>
        <v/>
      </c>
      <c r="G61" s="19" t="str">
        <f t="shared" si="2"/>
        <v/>
      </c>
      <c r="H61" s="19" t="str">
        <f t="shared" si="3"/>
        <v/>
      </c>
      <c r="I61" s="18" t="str">
        <f t="shared" si="11"/>
        <v/>
      </c>
      <c r="J61" s="18" t="str">
        <f t="shared" si="12"/>
        <v/>
      </c>
      <c r="K61" s="19" t="str">
        <f t="shared" si="6"/>
        <v/>
      </c>
      <c r="L61" s="19"/>
      <c r="M61" s="19"/>
      <c r="N61" s="19"/>
    </row>
    <row r="62" spans="1:14" customFormat="1">
      <c r="A62" s="20" t="str">
        <f>IF(BASE!B62=0,"",BASE!B62)</f>
        <v/>
      </c>
      <c r="B62" s="19" t="str">
        <f>IF(BASE!C62=0,"",BASE!C62)</f>
        <v/>
      </c>
      <c r="C62" s="19" t="str">
        <f>IF(BASE!D62=0,"",TRIM(BASE!D62))</f>
        <v/>
      </c>
      <c r="D62" s="21" t="str">
        <f>IFERROR(VLOOKUP(A62,AUX!A:B,2,0),"")</f>
        <v/>
      </c>
      <c r="E62" s="19" t="str">
        <f t="shared" si="1"/>
        <v/>
      </c>
      <c r="F62" s="19" t="str">
        <f t="shared" si="10"/>
        <v/>
      </c>
      <c r="G62" s="19" t="str">
        <f t="shared" si="2"/>
        <v/>
      </c>
      <c r="H62" s="19" t="str">
        <f t="shared" si="3"/>
        <v/>
      </c>
      <c r="I62" s="18" t="str">
        <f t="shared" si="11"/>
        <v/>
      </c>
      <c r="J62" s="18" t="str">
        <f t="shared" si="12"/>
        <v/>
      </c>
      <c r="K62" s="19" t="str">
        <f t="shared" si="6"/>
        <v/>
      </c>
      <c r="L62" s="19"/>
      <c r="M62" s="19"/>
      <c r="N62" s="19"/>
    </row>
    <row r="63" spans="1:14" customFormat="1">
      <c r="A63" s="20" t="str">
        <f>IF(BASE!B63=0,"",BASE!B63)</f>
        <v/>
      </c>
      <c r="B63" s="19" t="str">
        <f>IF(BASE!C63=0,"",BASE!C63)</f>
        <v/>
      </c>
      <c r="C63" s="19" t="str">
        <f>IF(BASE!D63=0,"",TRIM(BASE!D63))</f>
        <v/>
      </c>
      <c r="D63" s="21" t="str">
        <f>IFERROR(VLOOKUP(A63,AUX!A:B,2,0),"")</f>
        <v/>
      </c>
      <c r="E63" s="19" t="str">
        <f t="shared" si="1"/>
        <v/>
      </c>
      <c r="F63" s="19" t="str">
        <f t="shared" si="10"/>
        <v/>
      </c>
      <c r="G63" s="19" t="str">
        <f t="shared" si="2"/>
        <v/>
      </c>
      <c r="H63" s="19" t="str">
        <f t="shared" si="3"/>
        <v/>
      </c>
      <c r="I63" s="18" t="str">
        <f t="shared" si="11"/>
        <v/>
      </c>
      <c r="J63" s="18" t="str">
        <f t="shared" si="12"/>
        <v/>
      </c>
      <c r="K63" s="19" t="str">
        <f t="shared" si="6"/>
        <v/>
      </c>
      <c r="L63" s="19"/>
      <c r="M63" s="19"/>
      <c r="N63" s="19"/>
    </row>
    <row r="64" spans="1:14" customFormat="1">
      <c r="A64" s="20" t="str">
        <f>IF(BASE!B64=0,"",BASE!B64)</f>
        <v/>
      </c>
      <c r="B64" s="19" t="str">
        <f>IF(BASE!C64=0,"",BASE!C64)</f>
        <v/>
      </c>
      <c r="C64" s="19" t="str">
        <f>IF(BASE!D64=0,"",TRIM(BASE!D64))</f>
        <v/>
      </c>
      <c r="D64" s="21" t="str">
        <f>IFERROR(VLOOKUP(A64,AUX!A:B,2,0),"")</f>
        <v/>
      </c>
      <c r="E64" s="19" t="str">
        <f t="shared" si="1"/>
        <v/>
      </c>
      <c r="F64" s="19" t="str">
        <f t="shared" si="10"/>
        <v/>
      </c>
      <c r="G64" s="19" t="str">
        <f t="shared" si="2"/>
        <v/>
      </c>
      <c r="H64" s="19" t="str">
        <f t="shared" si="3"/>
        <v/>
      </c>
      <c r="I64" s="18" t="str">
        <f t="shared" si="11"/>
        <v/>
      </c>
      <c r="J64" s="18" t="str">
        <f t="shared" si="12"/>
        <v/>
      </c>
      <c r="K64" s="19" t="str">
        <f t="shared" si="6"/>
        <v/>
      </c>
      <c r="L64" s="19"/>
      <c r="M64" s="19"/>
      <c r="N64" s="19"/>
    </row>
    <row r="65" spans="1:14" customFormat="1">
      <c r="A65" s="20" t="str">
        <f>IF(BASE!B65=0,"",BASE!B65)</f>
        <v/>
      </c>
      <c r="B65" s="19" t="str">
        <f>IF(BASE!C65=0,"",BASE!C65)</f>
        <v/>
      </c>
      <c r="C65" s="19" t="str">
        <f>IF(BASE!D65=0,"",TRIM(BASE!D65))</f>
        <v/>
      </c>
      <c r="D65" s="21" t="str">
        <f>IFERROR(VLOOKUP(A65,AUX!A:B,2,0),"")</f>
        <v/>
      </c>
      <c r="E65" s="19" t="str">
        <f t="shared" si="1"/>
        <v/>
      </c>
      <c r="F65" s="19" t="str">
        <f t="shared" si="10"/>
        <v/>
      </c>
      <c r="G65" s="19" t="str">
        <f t="shared" si="2"/>
        <v/>
      </c>
      <c r="H65" s="19" t="str">
        <f t="shared" si="3"/>
        <v/>
      </c>
      <c r="I65" s="18" t="str">
        <f t="shared" si="11"/>
        <v/>
      </c>
      <c r="J65" s="18" t="str">
        <f t="shared" si="12"/>
        <v/>
      </c>
      <c r="K65" s="19" t="str">
        <f t="shared" si="6"/>
        <v/>
      </c>
      <c r="L65" s="19"/>
      <c r="M65" s="19"/>
      <c r="N65" s="19"/>
    </row>
    <row r="66" spans="1:14" customFormat="1">
      <c r="A66" s="20" t="str">
        <f>IF(BASE!B66=0,"",BASE!B66)</f>
        <v/>
      </c>
      <c r="B66" s="19" t="str">
        <f>IF(BASE!C66=0,"",BASE!C66)</f>
        <v/>
      </c>
      <c r="C66" s="19" t="str">
        <f>IF(BASE!D66=0,"",TRIM(BASE!D66))</f>
        <v/>
      </c>
      <c r="D66" s="21" t="str">
        <f>IFERROR(VLOOKUP(A66,AUX!A:B,2,0),"")</f>
        <v/>
      </c>
      <c r="E66" s="19" t="str">
        <f t="shared" si="1"/>
        <v/>
      </c>
      <c r="F66" s="19" t="str">
        <f t="shared" si="10"/>
        <v/>
      </c>
      <c r="G66" s="19" t="str">
        <f t="shared" si="2"/>
        <v/>
      </c>
      <c r="H66" s="19" t="str">
        <f t="shared" si="3"/>
        <v/>
      </c>
      <c r="I66" s="18" t="str">
        <f t="shared" si="11"/>
        <v/>
      </c>
      <c r="J66" s="18" t="str">
        <f t="shared" si="12"/>
        <v/>
      </c>
      <c r="K66" s="19" t="str">
        <f t="shared" si="6"/>
        <v/>
      </c>
      <c r="L66" s="19"/>
      <c r="M66" s="19"/>
      <c r="N66" s="19"/>
    </row>
    <row r="67" spans="1:14" customFormat="1">
      <c r="A67" s="20" t="str">
        <f>IF(BASE!B67=0,"",BASE!B67)</f>
        <v/>
      </c>
      <c r="B67" s="19" t="str">
        <f>IF(BASE!C67=0,"",BASE!C67)</f>
        <v/>
      </c>
      <c r="C67" s="19" t="str">
        <f>IF(BASE!D67=0,"",TRIM(BASE!D67))</f>
        <v/>
      </c>
      <c r="D67" s="21" t="str">
        <f>IFERROR(VLOOKUP(A67,AUX!A:B,2,0),"")</f>
        <v/>
      </c>
      <c r="E67" s="19" t="str">
        <f t="shared" ref="E67:E130" si="13">RIGHT(LEFT(TRIM(C67),3),2)</f>
        <v/>
      </c>
      <c r="F67" s="19" t="str">
        <f t="shared" ref="F67:F130" si="14">TRIM(RIGHT(TRIM(C67),11))</f>
        <v/>
      </c>
      <c r="G67" s="19" t="str">
        <f t="shared" ref="G67:G130" si="15">TRIM(LEFT(F67,5))</f>
        <v/>
      </c>
      <c r="H67" s="19" t="str">
        <f t="shared" ref="H67:H130" si="16">RIGHT(TRIM(F67),5)</f>
        <v/>
      </c>
      <c r="I67" s="18" t="str">
        <f t="shared" si="11"/>
        <v/>
      </c>
      <c r="J67" s="18" t="str">
        <f t="shared" si="12"/>
        <v/>
      </c>
      <c r="K67" s="19" t="str">
        <f t="shared" ref="K67:K130" si="17">IF(A67="","","Prezado (a), "&amp;J67&amp;"
Devido a um imprevisto no voo do médico, o horário do seu procedimento precisou ser alterado para "&amp;TEXT(D67,"HH:MM")&amp;".
Pedimos, por gentileza, que chegue com 15 minutos de antecedência.
Pedimos desculpas pelo transtorno, agradecemos a compreensão e permanecemos à disposição para qualquer dúvida.
Atenciosamente,
Centro de Oftalmologia Brasil")</f>
        <v/>
      </c>
      <c r="L67" s="19"/>
      <c r="M67" s="19"/>
      <c r="N67" s="19"/>
    </row>
    <row r="68" spans="1:14" customFormat="1">
      <c r="A68" s="20" t="str">
        <f>IF(BASE!B68=0,"",BASE!B68)</f>
        <v/>
      </c>
      <c r="B68" s="19" t="str">
        <f>IF(BASE!C68=0,"",BASE!C68)</f>
        <v/>
      </c>
      <c r="C68" s="19" t="str">
        <f>IF(BASE!D68=0,"",TRIM(BASE!D68))</f>
        <v/>
      </c>
      <c r="D68" s="21" t="str">
        <f>IFERROR(VLOOKUP(A68,AUX!A:B,2,0),"")</f>
        <v/>
      </c>
      <c r="E68" s="19" t="str">
        <f t="shared" si="13"/>
        <v/>
      </c>
      <c r="F68" s="19" t="str">
        <f t="shared" si="14"/>
        <v/>
      </c>
      <c r="G68" s="19" t="str">
        <f t="shared" si="15"/>
        <v/>
      </c>
      <c r="H68" s="19" t="str">
        <f t="shared" si="16"/>
        <v/>
      </c>
      <c r="I68" s="18" t="str">
        <f t="shared" si="11"/>
        <v/>
      </c>
      <c r="J68" s="18" t="str">
        <f t="shared" si="12"/>
        <v/>
      </c>
      <c r="K68" s="19" t="str">
        <f t="shared" si="17"/>
        <v/>
      </c>
      <c r="L68" s="19"/>
      <c r="M68" s="19"/>
      <c r="N68" s="19"/>
    </row>
    <row r="69" spans="1:14" customFormat="1">
      <c r="A69" s="20" t="str">
        <f>IF(BASE!B69=0,"",BASE!B69)</f>
        <v/>
      </c>
      <c r="B69" s="19" t="str">
        <f>IF(BASE!C69=0,"",BASE!C69)</f>
        <v/>
      </c>
      <c r="C69" s="19" t="str">
        <f>IF(BASE!D69=0,"",TRIM(BASE!D69))</f>
        <v/>
      </c>
      <c r="D69" s="21" t="str">
        <f>IFERROR(VLOOKUP(A69,AUX!A:B,2,0),"")</f>
        <v/>
      </c>
      <c r="E69" s="19" t="str">
        <f t="shared" si="13"/>
        <v/>
      </c>
      <c r="F69" s="19" t="str">
        <f t="shared" si="14"/>
        <v/>
      </c>
      <c r="G69" s="19" t="str">
        <f t="shared" si="15"/>
        <v/>
      </c>
      <c r="H69" s="19" t="str">
        <f t="shared" si="16"/>
        <v/>
      </c>
      <c r="I69" s="18" t="str">
        <f t="shared" si="11"/>
        <v/>
      </c>
      <c r="J69" s="18" t="str">
        <f t="shared" si="12"/>
        <v/>
      </c>
      <c r="K69" s="19" t="str">
        <f t="shared" si="17"/>
        <v/>
      </c>
      <c r="L69" s="19"/>
      <c r="M69" s="19"/>
      <c r="N69" s="19"/>
    </row>
    <row r="70" spans="1:14" customFormat="1">
      <c r="A70" s="20" t="str">
        <f>IF(BASE!B70=0,"",BASE!B70)</f>
        <v/>
      </c>
      <c r="B70" s="19" t="str">
        <f>IF(BASE!C70=0,"",BASE!C70)</f>
        <v/>
      </c>
      <c r="C70" s="19" t="str">
        <f>IF(BASE!D70=0,"",TRIM(BASE!D70))</f>
        <v/>
      </c>
      <c r="D70" s="21" t="str">
        <f>IFERROR(VLOOKUP(A70,AUX!A:B,2,0),"")</f>
        <v/>
      </c>
      <c r="E70" s="19" t="str">
        <f t="shared" si="13"/>
        <v/>
      </c>
      <c r="F70" s="19" t="str">
        <f t="shared" si="14"/>
        <v/>
      </c>
      <c r="G70" s="19" t="str">
        <f t="shared" si="15"/>
        <v/>
      </c>
      <c r="H70" s="19" t="str">
        <f t="shared" si="16"/>
        <v/>
      </c>
      <c r="I70" s="18" t="str">
        <f t="shared" si="11"/>
        <v/>
      </c>
      <c r="J70" s="18" t="str">
        <f t="shared" si="12"/>
        <v/>
      </c>
      <c r="K70" s="19" t="str">
        <f t="shared" si="17"/>
        <v/>
      </c>
      <c r="L70" s="19"/>
      <c r="M70" s="19"/>
      <c r="N70" s="19"/>
    </row>
    <row r="71" spans="1:14" customFormat="1">
      <c r="A71" s="20" t="str">
        <f>IF(BASE!B71=0,"",BASE!B71)</f>
        <v/>
      </c>
      <c r="B71" s="19" t="str">
        <f>IF(BASE!C71=0,"",BASE!C71)</f>
        <v/>
      </c>
      <c r="C71" s="19" t="str">
        <f>IF(BASE!D71=0,"",TRIM(BASE!D71))</f>
        <v/>
      </c>
      <c r="D71" s="21" t="str">
        <f>IFERROR(VLOOKUP(A71,AUX!A:B,2,0),"")</f>
        <v/>
      </c>
      <c r="E71" s="19" t="str">
        <f t="shared" si="13"/>
        <v/>
      </c>
      <c r="F71" s="19" t="str">
        <f t="shared" si="14"/>
        <v/>
      </c>
      <c r="G71" s="19" t="str">
        <f t="shared" si="15"/>
        <v/>
      </c>
      <c r="H71" s="19" t="str">
        <f t="shared" si="16"/>
        <v/>
      </c>
      <c r="I71" s="18" t="str">
        <f t="shared" si="11"/>
        <v/>
      </c>
      <c r="J71" s="18" t="str">
        <f t="shared" si="12"/>
        <v/>
      </c>
      <c r="K71" s="19" t="str">
        <f t="shared" si="17"/>
        <v/>
      </c>
      <c r="L71" s="19"/>
      <c r="M71" s="19"/>
      <c r="N71" s="19"/>
    </row>
    <row r="72" spans="1:14" customFormat="1">
      <c r="A72" s="20" t="str">
        <f>IF(BASE!B72=0,"",BASE!B72)</f>
        <v/>
      </c>
      <c r="B72" s="19" t="str">
        <f>IF(BASE!C72=0,"",BASE!C72)</f>
        <v/>
      </c>
      <c r="C72" s="19" t="str">
        <f>IF(BASE!D72=0,"",TRIM(BASE!D72))</f>
        <v/>
      </c>
      <c r="D72" s="21" t="str">
        <f>IFERROR(VLOOKUP(A72,AUX!A:B,2,0),"")</f>
        <v/>
      </c>
      <c r="E72" s="19" t="str">
        <f t="shared" si="13"/>
        <v/>
      </c>
      <c r="F72" s="19" t="str">
        <f t="shared" si="14"/>
        <v/>
      </c>
      <c r="G72" s="19" t="str">
        <f t="shared" si="15"/>
        <v/>
      </c>
      <c r="H72" s="19" t="str">
        <f t="shared" si="16"/>
        <v/>
      </c>
      <c r="I72" s="18" t="str">
        <f t="shared" si="11"/>
        <v/>
      </c>
      <c r="J72" s="18" t="str">
        <f t="shared" si="12"/>
        <v/>
      </c>
      <c r="K72" s="19" t="str">
        <f t="shared" si="17"/>
        <v/>
      </c>
      <c r="L72" s="19"/>
      <c r="M72" s="19"/>
      <c r="N72" s="19"/>
    </row>
    <row r="73" spans="1:14" customFormat="1">
      <c r="A73" s="20" t="str">
        <f>IF(BASE!B73=0,"",BASE!B73)</f>
        <v/>
      </c>
      <c r="B73" s="19" t="str">
        <f>IF(BASE!C73=0,"",BASE!C73)</f>
        <v/>
      </c>
      <c r="C73" s="19" t="str">
        <f>IF(BASE!D73=0,"",TRIM(BASE!D73))</f>
        <v/>
      </c>
      <c r="D73" s="21" t="str">
        <f>IFERROR(VLOOKUP(A73,AUX!A:B,2,0),"")</f>
        <v/>
      </c>
      <c r="E73" s="19" t="str">
        <f t="shared" si="13"/>
        <v/>
      </c>
      <c r="F73" s="19" t="str">
        <f t="shared" si="14"/>
        <v/>
      </c>
      <c r="G73" s="19" t="str">
        <f t="shared" si="15"/>
        <v/>
      </c>
      <c r="H73" s="19" t="str">
        <f t="shared" si="16"/>
        <v/>
      </c>
      <c r="I73" s="18" t="str">
        <f t="shared" si="11"/>
        <v/>
      </c>
      <c r="J73" s="18" t="str">
        <f t="shared" si="12"/>
        <v/>
      </c>
      <c r="K73" s="19" t="str">
        <f t="shared" si="17"/>
        <v/>
      </c>
      <c r="L73" s="19"/>
      <c r="M73" s="19"/>
      <c r="N73" s="19"/>
    </row>
    <row r="74" spans="1:14" customFormat="1">
      <c r="A74" s="20" t="str">
        <f>IF(BASE!B74=0,"",BASE!B74)</f>
        <v/>
      </c>
      <c r="B74" s="19" t="str">
        <f>IF(BASE!C74=0,"",BASE!C74)</f>
        <v/>
      </c>
      <c r="C74" s="19" t="str">
        <f>IF(BASE!D74=0,"",TRIM(BASE!D74))</f>
        <v/>
      </c>
      <c r="D74" s="21" t="str">
        <f>IFERROR(VLOOKUP(A74,AUX!A:B,2,0),"")</f>
        <v/>
      </c>
      <c r="E74" s="19" t="str">
        <f t="shared" si="13"/>
        <v/>
      </c>
      <c r="F74" s="19" t="str">
        <f t="shared" si="14"/>
        <v/>
      </c>
      <c r="G74" s="19" t="str">
        <f t="shared" si="15"/>
        <v/>
      </c>
      <c r="H74" s="19" t="str">
        <f t="shared" si="16"/>
        <v/>
      </c>
      <c r="I74" s="18" t="str">
        <f t="shared" si="11"/>
        <v/>
      </c>
      <c r="J74" s="18" t="str">
        <f t="shared" si="12"/>
        <v/>
      </c>
      <c r="K74" s="19" t="str">
        <f t="shared" si="17"/>
        <v/>
      </c>
      <c r="L74" s="19"/>
      <c r="M74" s="19"/>
      <c r="N74" s="19"/>
    </row>
    <row r="75" spans="1:14" customFormat="1">
      <c r="A75" s="20" t="str">
        <f>IF(BASE!B75=0,"",BASE!B75)</f>
        <v/>
      </c>
      <c r="B75" s="19" t="str">
        <f>IF(BASE!C75=0,"",BASE!C75)</f>
        <v/>
      </c>
      <c r="C75" s="19" t="str">
        <f>IF(BASE!D75=0,"",TRIM(BASE!D75))</f>
        <v/>
      </c>
      <c r="D75" s="21" t="str">
        <f>IFERROR(VLOOKUP(A75,AUX!A:B,2,0),"")</f>
        <v/>
      </c>
      <c r="E75" s="19" t="str">
        <f t="shared" si="13"/>
        <v/>
      </c>
      <c r="F75" s="19" t="str">
        <f t="shared" si="14"/>
        <v/>
      </c>
      <c r="G75" s="19" t="str">
        <f t="shared" si="15"/>
        <v/>
      </c>
      <c r="H75" s="19" t="str">
        <f t="shared" si="16"/>
        <v/>
      </c>
      <c r="I75" s="18" t="str">
        <f t="shared" si="11"/>
        <v/>
      </c>
      <c r="J75" s="18" t="str">
        <f t="shared" si="12"/>
        <v/>
      </c>
      <c r="K75" s="19" t="str">
        <f t="shared" si="17"/>
        <v/>
      </c>
      <c r="L75" s="19"/>
      <c r="M75" s="19"/>
      <c r="N75" s="19"/>
    </row>
    <row r="76" spans="1:14" customFormat="1">
      <c r="A76" s="20" t="str">
        <f>IF(BASE!B76=0,"",BASE!B76)</f>
        <v/>
      </c>
      <c r="B76" s="19" t="str">
        <f>IF(BASE!C76=0,"",BASE!C76)</f>
        <v/>
      </c>
      <c r="C76" s="19" t="str">
        <f>IF(BASE!D76=0,"",TRIM(BASE!D76))</f>
        <v/>
      </c>
      <c r="D76" s="21" t="str">
        <f>IFERROR(VLOOKUP(A76,AUX!A:B,2,0),"")</f>
        <v/>
      </c>
      <c r="E76" s="19" t="str">
        <f t="shared" si="13"/>
        <v/>
      </c>
      <c r="F76" s="19" t="str">
        <f t="shared" si="14"/>
        <v/>
      </c>
      <c r="G76" s="19" t="str">
        <f t="shared" si="15"/>
        <v/>
      </c>
      <c r="H76" s="19" t="str">
        <f t="shared" si="16"/>
        <v/>
      </c>
      <c r="I76" s="18" t="str">
        <f t="shared" si="11"/>
        <v/>
      </c>
      <c r="J76" s="18" t="str">
        <f t="shared" si="12"/>
        <v/>
      </c>
      <c r="K76" s="19" t="str">
        <f t="shared" si="17"/>
        <v/>
      </c>
      <c r="L76" s="19"/>
      <c r="M76" s="19"/>
      <c r="N76" s="19"/>
    </row>
    <row r="77" spans="1:14" customFormat="1">
      <c r="A77" s="20" t="str">
        <f>IF(BASE!B77=0,"",BASE!B77)</f>
        <v/>
      </c>
      <c r="B77" s="19" t="str">
        <f>IF(BASE!C77=0,"",BASE!C77)</f>
        <v/>
      </c>
      <c r="C77" s="19" t="str">
        <f>IF(BASE!D77=0,"",TRIM(BASE!D77))</f>
        <v/>
      </c>
      <c r="D77" s="21" t="str">
        <f>IFERROR(VLOOKUP(A77,AUX!A:B,2,0),"")</f>
        <v/>
      </c>
      <c r="E77" s="19" t="str">
        <f t="shared" si="13"/>
        <v/>
      </c>
      <c r="F77" s="19" t="str">
        <f t="shared" si="14"/>
        <v/>
      </c>
      <c r="G77" s="19" t="str">
        <f t="shared" si="15"/>
        <v/>
      </c>
      <c r="H77" s="19" t="str">
        <f t="shared" si="16"/>
        <v/>
      </c>
      <c r="I77" s="18" t="str">
        <f t="shared" si="11"/>
        <v/>
      </c>
      <c r="J77" s="18" t="str">
        <f t="shared" si="12"/>
        <v/>
      </c>
      <c r="K77" s="19" t="str">
        <f t="shared" si="17"/>
        <v/>
      </c>
      <c r="L77" s="19"/>
      <c r="M77" s="19"/>
      <c r="N77" s="19"/>
    </row>
    <row r="78" spans="1:14" customFormat="1">
      <c r="A78" s="20" t="str">
        <f>IF(BASE!B78=0,"",BASE!B78)</f>
        <v/>
      </c>
      <c r="B78" s="19" t="str">
        <f>IF(BASE!C78=0,"",BASE!C78)</f>
        <v/>
      </c>
      <c r="C78" s="19" t="str">
        <f>IF(BASE!D78=0,"",TRIM(BASE!D78))</f>
        <v/>
      </c>
      <c r="D78" s="21" t="str">
        <f>IFERROR(VLOOKUP(A78,AUX!A:B,2,0),"")</f>
        <v/>
      </c>
      <c r="E78" s="19" t="str">
        <f t="shared" si="13"/>
        <v/>
      </c>
      <c r="F78" s="19" t="str">
        <f t="shared" si="14"/>
        <v/>
      </c>
      <c r="G78" s="19" t="str">
        <f t="shared" si="15"/>
        <v/>
      </c>
      <c r="H78" s="19" t="str">
        <f t="shared" si="16"/>
        <v/>
      </c>
      <c r="I78" s="18" t="str">
        <f t="shared" si="11"/>
        <v/>
      </c>
      <c r="J78" s="18" t="str">
        <f t="shared" si="12"/>
        <v/>
      </c>
      <c r="K78" s="19" t="str">
        <f t="shared" si="17"/>
        <v/>
      </c>
      <c r="L78" s="19"/>
      <c r="M78" s="19"/>
      <c r="N78" s="19"/>
    </row>
    <row r="79" spans="1:14" customFormat="1">
      <c r="A79" s="20" t="str">
        <f>IF(BASE!B79=0,"",BASE!B79)</f>
        <v/>
      </c>
      <c r="B79" s="19" t="str">
        <f>IF(BASE!C79=0,"",BASE!C79)</f>
        <v/>
      </c>
      <c r="C79" s="19" t="str">
        <f>IF(BASE!D79=0,"",TRIM(BASE!D79))</f>
        <v/>
      </c>
      <c r="D79" s="21" t="str">
        <f>IFERROR(VLOOKUP(A79,AUX!A:B,2,0),"")</f>
        <v/>
      </c>
      <c r="E79" s="19" t="str">
        <f t="shared" si="13"/>
        <v/>
      </c>
      <c r="F79" s="19" t="str">
        <f t="shared" si="14"/>
        <v/>
      </c>
      <c r="G79" s="19" t="str">
        <f t="shared" si="15"/>
        <v/>
      </c>
      <c r="H79" s="19" t="str">
        <f t="shared" si="16"/>
        <v/>
      </c>
      <c r="I79" s="18" t="str">
        <f t="shared" si="11"/>
        <v/>
      </c>
      <c r="J79" s="18" t="str">
        <f t="shared" si="12"/>
        <v/>
      </c>
      <c r="K79" s="19" t="str">
        <f t="shared" si="17"/>
        <v/>
      </c>
      <c r="L79" s="19"/>
      <c r="M79" s="19"/>
      <c r="N79" s="19"/>
    </row>
    <row r="80" spans="1:14" customFormat="1">
      <c r="A80" s="20" t="str">
        <f>IF(BASE!B80=0,"",BASE!B80)</f>
        <v/>
      </c>
      <c r="B80" s="19" t="str">
        <f>IF(BASE!C80=0,"",BASE!C80)</f>
        <v/>
      </c>
      <c r="C80" s="19" t="str">
        <f>IF(BASE!D80=0,"",TRIM(BASE!D80))</f>
        <v/>
      </c>
      <c r="D80" s="21" t="str">
        <f>IFERROR(VLOOKUP(A80,AUX!A:B,2,0),"")</f>
        <v/>
      </c>
      <c r="E80" s="19" t="str">
        <f t="shared" si="13"/>
        <v/>
      </c>
      <c r="F80" s="19" t="str">
        <f t="shared" si="14"/>
        <v/>
      </c>
      <c r="G80" s="19" t="str">
        <f t="shared" si="15"/>
        <v/>
      </c>
      <c r="H80" s="19" t="str">
        <f t="shared" si="16"/>
        <v/>
      </c>
      <c r="I80" s="18" t="str">
        <f t="shared" si="11"/>
        <v/>
      </c>
      <c r="J80" s="18" t="str">
        <f t="shared" si="12"/>
        <v/>
      </c>
      <c r="K80" s="19" t="str">
        <f t="shared" si="17"/>
        <v/>
      </c>
      <c r="L80" s="19"/>
      <c r="M80" s="19"/>
      <c r="N80" s="19"/>
    </row>
    <row r="81" spans="1:14" customFormat="1">
      <c r="A81" s="20" t="str">
        <f>IF(BASE!B81=0,"",BASE!B81)</f>
        <v/>
      </c>
      <c r="B81" s="19" t="str">
        <f>IF(BASE!C81=0,"",BASE!C81)</f>
        <v/>
      </c>
      <c r="C81" s="19" t="str">
        <f>IF(BASE!D81=0,"",TRIM(BASE!D81))</f>
        <v/>
      </c>
      <c r="D81" s="21" t="str">
        <f>IFERROR(VLOOKUP(A81,AUX!A:B,2,0),"")</f>
        <v/>
      </c>
      <c r="E81" s="19" t="str">
        <f t="shared" si="13"/>
        <v/>
      </c>
      <c r="F81" s="19" t="str">
        <f t="shared" si="14"/>
        <v/>
      </c>
      <c r="G81" s="19" t="str">
        <f t="shared" si="15"/>
        <v/>
      </c>
      <c r="H81" s="19" t="str">
        <f t="shared" si="16"/>
        <v/>
      </c>
      <c r="I81" s="18" t="str">
        <f t="shared" si="11"/>
        <v/>
      </c>
      <c r="J81" s="18" t="str">
        <f t="shared" si="12"/>
        <v/>
      </c>
      <c r="K81" s="19" t="str">
        <f t="shared" si="17"/>
        <v/>
      </c>
      <c r="L81" s="19"/>
      <c r="M81" s="19"/>
      <c r="N81" s="19"/>
    </row>
    <row r="82" spans="1:14" customFormat="1">
      <c r="A82" s="20" t="str">
        <f>IF(BASE!B82=0,"",BASE!B82)</f>
        <v/>
      </c>
      <c r="B82" s="19" t="str">
        <f>IF(BASE!C82=0,"",BASE!C82)</f>
        <v/>
      </c>
      <c r="C82" s="19" t="str">
        <f>IF(BASE!D82=0,"",TRIM(BASE!D82))</f>
        <v/>
      </c>
      <c r="D82" s="21" t="str">
        <f>IFERROR(VLOOKUP(A82,AUX!A:B,2,0),"")</f>
        <v/>
      </c>
      <c r="E82" s="19" t="str">
        <f t="shared" si="13"/>
        <v/>
      </c>
      <c r="F82" s="19" t="str">
        <f t="shared" si="14"/>
        <v/>
      </c>
      <c r="G82" s="19" t="str">
        <f t="shared" si="15"/>
        <v/>
      </c>
      <c r="H82" s="19" t="str">
        <f t="shared" si="16"/>
        <v/>
      </c>
      <c r="I82" s="18" t="str">
        <f t="shared" si="11"/>
        <v/>
      </c>
      <c r="J82" s="18" t="str">
        <f t="shared" si="12"/>
        <v/>
      </c>
      <c r="K82" s="19" t="str">
        <f t="shared" si="17"/>
        <v/>
      </c>
      <c r="L82" s="19"/>
      <c r="M82" s="19"/>
      <c r="N82" s="19"/>
    </row>
    <row r="83" spans="1:14" customFormat="1">
      <c r="A83" s="20" t="str">
        <f>IF(BASE!B83=0,"",BASE!B83)</f>
        <v/>
      </c>
      <c r="B83" s="19" t="str">
        <f>IF(BASE!C83=0,"",BASE!C83)</f>
        <v/>
      </c>
      <c r="C83" s="19" t="str">
        <f>IF(BASE!D83=0,"",TRIM(BASE!D83))</f>
        <v/>
      </c>
      <c r="D83" s="21" t="str">
        <f>IFERROR(VLOOKUP(A83,AUX!A:B,2,0),"")</f>
        <v/>
      </c>
      <c r="E83" s="19" t="str">
        <f t="shared" si="13"/>
        <v/>
      </c>
      <c r="F83" s="19" t="str">
        <f t="shared" si="14"/>
        <v/>
      </c>
      <c r="G83" s="19" t="str">
        <f t="shared" si="15"/>
        <v/>
      </c>
      <c r="H83" s="19" t="str">
        <f t="shared" si="16"/>
        <v/>
      </c>
      <c r="I83" s="18" t="str">
        <f t="shared" si="11"/>
        <v/>
      </c>
      <c r="J83" s="18" t="str">
        <f t="shared" si="12"/>
        <v/>
      </c>
      <c r="K83" s="19" t="str">
        <f t="shared" si="17"/>
        <v/>
      </c>
      <c r="L83" s="19"/>
      <c r="M83" s="19"/>
      <c r="N83" s="19"/>
    </row>
    <row r="84" spans="1:14" customFormat="1">
      <c r="A84" s="20" t="str">
        <f>IF(BASE!B84=0,"",BASE!B84)</f>
        <v/>
      </c>
      <c r="B84" s="19" t="str">
        <f>IF(BASE!C84=0,"",BASE!C84)</f>
        <v/>
      </c>
      <c r="C84" s="19" t="str">
        <f>IF(BASE!D84=0,"",TRIM(BASE!D84))</f>
        <v/>
      </c>
      <c r="D84" s="21" t="str">
        <f>IFERROR(VLOOKUP(A84,AUX!A:B,2,0),"")</f>
        <v/>
      </c>
      <c r="E84" s="19" t="str">
        <f t="shared" si="13"/>
        <v/>
      </c>
      <c r="F84" s="19" t="str">
        <f t="shared" si="14"/>
        <v/>
      </c>
      <c r="G84" s="19" t="str">
        <f t="shared" si="15"/>
        <v/>
      </c>
      <c r="H84" s="19" t="str">
        <f t="shared" si="16"/>
        <v/>
      </c>
      <c r="I84" s="18" t="str">
        <f t="shared" si="11"/>
        <v/>
      </c>
      <c r="J84" s="18" t="str">
        <f t="shared" si="12"/>
        <v/>
      </c>
      <c r="K84" s="19" t="str">
        <f t="shared" si="17"/>
        <v/>
      </c>
      <c r="L84" s="19"/>
      <c r="M84" s="19"/>
      <c r="N84" s="19"/>
    </row>
    <row r="85" spans="1:14" customFormat="1">
      <c r="A85" s="20" t="str">
        <f>IF(BASE!B85=0,"",BASE!B85)</f>
        <v/>
      </c>
      <c r="B85" s="19" t="str">
        <f>IF(BASE!C85=0,"",BASE!C85)</f>
        <v/>
      </c>
      <c r="C85" s="19" t="str">
        <f>IF(BASE!D85=0,"",TRIM(BASE!D85))</f>
        <v/>
      </c>
      <c r="D85" s="21" t="str">
        <f>IFERROR(VLOOKUP(A85,AUX!A:B,2,0),"")</f>
        <v/>
      </c>
      <c r="E85" s="19" t="str">
        <f t="shared" si="13"/>
        <v/>
      </c>
      <c r="F85" s="19" t="str">
        <f t="shared" si="14"/>
        <v/>
      </c>
      <c r="G85" s="19" t="str">
        <f t="shared" si="15"/>
        <v/>
      </c>
      <c r="H85" s="19" t="str">
        <f t="shared" si="16"/>
        <v/>
      </c>
      <c r="I85" s="18" t="str">
        <f t="shared" si="11"/>
        <v/>
      </c>
      <c r="J85" s="18" t="str">
        <f t="shared" si="12"/>
        <v/>
      </c>
      <c r="K85" s="19" t="str">
        <f t="shared" si="17"/>
        <v/>
      </c>
      <c r="L85" s="19"/>
      <c r="M85" s="19"/>
      <c r="N85" s="19"/>
    </row>
    <row r="86" spans="1:14" customFormat="1">
      <c r="A86" s="20" t="str">
        <f>IF(BASE!B86=0,"",BASE!B86)</f>
        <v/>
      </c>
      <c r="B86" s="19" t="str">
        <f>IF(BASE!C86=0,"",BASE!C86)</f>
        <v/>
      </c>
      <c r="C86" s="19" t="str">
        <f>IF(BASE!D86=0,"",TRIM(BASE!D86))</f>
        <v/>
      </c>
      <c r="D86" s="21" t="str">
        <f>IFERROR(VLOOKUP(A86,AUX!A:B,2,0),"")</f>
        <v/>
      </c>
      <c r="E86" s="19" t="str">
        <f t="shared" si="13"/>
        <v/>
      </c>
      <c r="F86" s="19" t="str">
        <f t="shared" si="14"/>
        <v/>
      </c>
      <c r="G86" s="19" t="str">
        <f t="shared" si="15"/>
        <v/>
      </c>
      <c r="H86" s="19" t="str">
        <f t="shared" si="16"/>
        <v/>
      </c>
      <c r="I86" s="18" t="str">
        <f t="shared" si="11"/>
        <v/>
      </c>
      <c r="J86" s="18" t="str">
        <f t="shared" si="12"/>
        <v/>
      </c>
      <c r="K86" s="19" t="str">
        <f t="shared" si="17"/>
        <v/>
      </c>
      <c r="L86" s="19"/>
      <c r="M86" s="19"/>
      <c r="N86" s="19"/>
    </row>
    <row r="87" spans="1:14" customFormat="1">
      <c r="A87" s="20" t="str">
        <f>IF(BASE!B87=0,"",BASE!B87)</f>
        <v/>
      </c>
      <c r="B87" s="19" t="str">
        <f>IF(BASE!C87=0,"",BASE!C87)</f>
        <v/>
      </c>
      <c r="C87" s="19" t="str">
        <f>IF(BASE!D87=0,"",TRIM(BASE!D87))</f>
        <v/>
      </c>
      <c r="D87" s="21" t="str">
        <f>IFERROR(VLOOKUP(A87,AUX!A:B,2,0),"")</f>
        <v/>
      </c>
      <c r="E87" s="19" t="str">
        <f t="shared" si="13"/>
        <v/>
      </c>
      <c r="F87" s="19" t="str">
        <f t="shared" si="14"/>
        <v/>
      </c>
      <c r="G87" s="19" t="str">
        <f t="shared" si="15"/>
        <v/>
      </c>
      <c r="H87" s="19" t="str">
        <f t="shared" si="16"/>
        <v/>
      </c>
      <c r="I87" s="18" t="str">
        <f t="shared" si="11"/>
        <v/>
      </c>
      <c r="J87" s="18" t="str">
        <f t="shared" si="12"/>
        <v/>
      </c>
      <c r="K87" s="19" t="str">
        <f t="shared" si="17"/>
        <v/>
      </c>
      <c r="L87" s="19"/>
      <c r="M87" s="19"/>
      <c r="N87" s="19"/>
    </row>
    <row r="88" spans="1:14" customFormat="1">
      <c r="A88" s="20" t="str">
        <f>IF(BASE!B88=0,"",BASE!B88)</f>
        <v/>
      </c>
      <c r="B88" s="19" t="str">
        <f>IF(BASE!C88=0,"",BASE!C88)</f>
        <v/>
      </c>
      <c r="C88" s="19" t="str">
        <f>IF(BASE!D88=0,"",TRIM(BASE!D88))</f>
        <v/>
      </c>
      <c r="D88" s="21" t="str">
        <f>IFERROR(VLOOKUP(A88,AUX!A:B,2,0),"")</f>
        <v/>
      </c>
      <c r="E88" s="19" t="str">
        <f t="shared" si="13"/>
        <v/>
      </c>
      <c r="F88" s="19" t="str">
        <f t="shared" si="14"/>
        <v/>
      </c>
      <c r="G88" s="19" t="str">
        <f t="shared" si="15"/>
        <v/>
      </c>
      <c r="H88" s="19" t="str">
        <f t="shared" si="16"/>
        <v/>
      </c>
      <c r="I88" s="18" t="str">
        <f t="shared" si="11"/>
        <v/>
      </c>
      <c r="J88" s="18" t="str">
        <f t="shared" si="12"/>
        <v/>
      </c>
      <c r="K88" s="19" t="str">
        <f t="shared" si="17"/>
        <v/>
      </c>
      <c r="L88" s="19"/>
      <c r="M88" s="19"/>
      <c r="N88" s="19"/>
    </row>
    <row r="89" spans="1:14" customFormat="1">
      <c r="A89" s="20" t="str">
        <f>IF(BASE!B89=0,"",BASE!B89)</f>
        <v/>
      </c>
      <c r="B89" s="19" t="str">
        <f>IF(BASE!C89=0,"",BASE!C89)</f>
        <v/>
      </c>
      <c r="C89" s="19" t="str">
        <f>IF(BASE!D89=0,"",TRIM(BASE!D89))</f>
        <v/>
      </c>
      <c r="D89" s="21" t="str">
        <f>IFERROR(VLOOKUP(A89,AUX!A:B,2,0),"")</f>
        <v/>
      </c>
      <c r="E89" s="19" t="str">
        <f t="shared" si="13"/>
        <v/>
      </c>
      <c r="F89" s="19" t="str">
        <f t="shared" si="14"/>
        <v/>
      </c>
      <c r="G89" s="19" t="str">
        <f t="shared" si="15"/>
        <v/>
      </c>
      <c r="H89" s="19" t="str">
        <f t="shared" si="16"/>
        <v/>
      </c>
      <c r="I89" s="18" t="str">
        <f t="shared" si="11"/>
        <v/>
      </c>
      <c r="J89" s="18" t="str">
        <f t="shared" si="12"/>
        <v/>
      </c>
      <c r="K89" s="19" t="str">
        <f t="shared" si="17"/>
        <v/>
      </c>
      <c r="L89" s="19"/>
      <c r="M89" s="19"/>
      <c r="N89" s="19"/>
    </row>
    <row r="90" spans="1:14" customFormat="1">
      <c r="A90" s="20" t="str">
        <f>IF(BASE!B90=0,"",BASE!B90)</f>
        <v/>
      </c>
      <c r="B90" s="19" t="str">
        <f>IF(BASE!C90=0,"",BASE!C90)</f>
        <v/>
      </c>
      <c r="C90" s="19" t="str">
        <f>IF(BASE!D90=0,"",TRIM(BASE!D90))</f>
        <v/>
      </c>
      <c r="D90" s="21" t="str">
        <f>IFERROR(VLOOKUP(A90,AUX!A:B,2,0),"")</f>
        <v/>
      </c>
      <c r="E90" s="19" t="str">
        <f t="shared" si="13"/>
        <v/>
      </c>
      <c r="F90" s="19" t="str">
        <f t="shared" si="14"/>
        <v/>
      </c>
      <c r="G90" s="19" t="str">
        <f t="shared" si="15"/>
        <v/>
      </c>
      <c r="H90" s="19" t="str">
        <f t="shared" si="16"/>
        <v/>
      </c>
      <c r="I90" s="18" t="str">
        <f t="shared" si="11"/>
        <v/>
      </c>
      <c r="J90" s="18" t="str">
        <f t="shared" si="12"/>
        <v/>
      </c>
      <c r="K90" s="19" t="str">
        <f t="shared" si="17"/>
        <v/>
      </c>
      <c r="L90" s="19"/>
      <c r="M90" s="19"/>
      <c r="N90" s="19"/>
    </row>
    <row r="91" spans="1:14" customFormat="1">
      <c r="A91" s="20" t="str">
        <f>IF(BASE!B91=0,"",BASE!B91)</f>
        <v/>
      </c>
      <c r="B91" s="19" t="str">
        <f>IF(BASE!C91=0,"",BASE!C91)</f>
        <v/>
      </c>
      <c r="C91" s="19" t="str">
        <f>IF(BASE!D91=0,"",TRIM(BASE!D91))</f>
        <v/>
      </c>
      <c r="D91" s="21" t="str">
        <f>IFERROR(VLOOKUP(A91,AUX!A:B,2,0),"")</f>
        <v/>
      </c>
      <c r="E91" s="19" t="str">
        <f t="shared" si="13"/>
        <v/>
      </c>
      <c r="F91" s="19" t="str">
        <f t="shared" si="14"/>
        <v/>
      </c>
      <c r="G91" s="19" t="str">
        <f t="shared" si="15"/>
        <v/>
      </c>
      <c r="H91" s="19" t="str">
        <f t="shared" si="16"/>
        <v/>
      </c>
      <c r="I91" s="18" t="str">
        <f t="shared" si="11"/>
        <v/>
      </c>
      <c r="J91" s="18" t="str">
        <f t="shared" si="12"/>
        <v/>
      </c>
      <c r="K91" s="19" t="str">
        <f t="shared" si="17"/>
        <v/>
      </c>
      <c r="L91" s="19"/>
      <c r="M91" s="19"/>
      <c r="N91" s="19"/>
    </row>
    <row r="92" spans="1:14" customFormat="1">
      <c r="A92" s="20" t="str">
        <f>IF(BASE!B92=0,"",BASE!B92)</f>
        <v/>
      </c>
      <c r="B92" s="19" t="str">
        <f>IF(BASE!C92=0,"",BASE!C92)</f>
        <v/>
      </c>
      <c r="C92" s="19" t="str">
        <f>IF(BASE!D92=0,"",TRIM(BASE!D92))</f>
        <v/>
      </c>
      <c r="D92" s="21" t="str">
        <f>IFERROR(VLOOKUP(A92,AUX!A:B,2,0),"")</f>
        <v/>
      </c>
      <c r="E92" s="19" t="str">
        <f t="shared" si="13"/>
        <v/>
      </c>
      <c r="F92" s="19" t="str">
        <f t="shared" si="14"/>
        <v/>
      </c>
      <c r="G92" s="19" t="str">
        <f t="shared" si="15"/>
        <v/>
      </c>
      <c r="H92" s="19" t="str">
        <f t="shared" si="16"/>
        <v/>
      </c>
      <c r="I92" s="18" t="str">
        <f t="shared" si="11"/>
        <v/>
      </c>
      <c r="J92" s="18" t="str">
        <f t="shared" si="12"/>
        <v/>
      </c>
      <c r="K92" s="19" t="str">
        <f t="shared" si="17"/>
        <v/>
      </c>
      <c r="L92" s="19"/>
      <c r="M92" s="19"/>
      <c r="N92" s="19"/>
    </row>
    <row r="93" spans="1:14" customFormat="1">
      <c r="A93" s="20" t="str">
        <f>IF(BASE!B93=0,"",BASE!B93)</f>
        <v/>
      </c>
      <c r="B93" s="19" t="str">
        <f>IF(BASE!C93=0,"",BASE!C93)</f>
        <v/>
      </c>
      <c r="C93" s="19" t="str">
        <f>IF(BASE!D93=0,"",TRIM(BASE!D93))</f>
        <v/>
      </c>
      <c r="D93" s="21" t="str">
        <f>IFERROR(VLOOKUP(A93,AUX!A:B,2,0),"")</f>
        <v/>
      </c>
      <c r="E93" s="19" t="str">
        <f t="shared" si="13"/>
        <v/>
      </c>
      <c r="F93" s="19" t="str">
        <f t="shared" si="14"/>
        <v/>
      </c>
      <c r="G93" s="19" t="str">
        <f t="shared" si="15"/>
        <v/>
      </c>
      <c r="H93" s="19" t="str">
        <f t="shared" si="16"/>
        <v/>
      </c>
      <c r="I93" s="18" t="str">
        <f t="shared" si="11"/>
        <v/>
      </c>
      <c r="J93" s="18" t="str">
        <f t="shared" si="12"/>
        <v/>
      </c>
      <c r="K93" s="19" t="str">
        <f t="shared" si="17"/>
        <v/>
      </c>
      <c r="L93" s="19"/>
      <c r="M93" s="19"/>
      <c r="N93" s="19"/>
    </row>
    <row r="94" spans="1:14" customFormat="1">
      <c r="A94" s="20" t="str">
        <f>IF(BASE!B94=0,"",BASE!B94)</f>
        <v/>
      </c>
      <c r="B94" s="19" t="str">
        <f>IF(BASE!C94=0,"",BASE!C94)</f>
        <v/>
      </c>
      <c r="C94" s="19" t="str">
        <f>IF(BASE!D94=0,"",TRIM(BASE!D94))</f>
        <v/>
      </c>
      <c r="D94" s="21" t="str">
        <f>IFERROR(VLOOKUP(A94,AUX!A:B,2,0),"")</f>
        <v/>
      </c>
      <c r="E94" s="19" t="str">
        <f t="shared" si="13"/>
        <v/>
      </c>
      <c r="F94" s="19" t="str">
        <f t="shared" si="14"/>
        <v/>
      </c>
      <c r="G94" s="19" t="str">
        <f t="shared" si="15"/>
        <v/>
      </c>
      <c r="H94" s="19" t="str">
        <f t="shared" si="16"/>
        <v/>
      </c>
      <c r="I94" s="18" t="str">
        <f t="shared" si="11"/>
        <v/>
      </c>
      <c r="J94" s="18" t="str">
        <f t="shared" si="12"/>
        <v/>
      </c>
      <c r="K94" s="19" t="str">
        <f t="shared" si="17"/>
        <v/>
      </c>
      <c r="L94" s="19"/>
      <c r="M94" s="19"/>
      <c r="N94" s="19"/>
    </row>
    <row r="95" spans="1:14" customFormat="1">
      <c r="A95" s="20" t="str">
        <f>IF(BASE!B95=0,"",BASE!B95)</f>
        <v/>
      </c>
      <c r="B95" s="19" t="str">
        <f>IF(BASE!C95=0,"",BASE!C95)</f>
        <v/>
      </c>
      <c r="C95" s="19" t="str">
        <f>IF(BASE!D95=0,"",TRIM(BASE!D95))</f>
        <v/>
      </c>
      <c r="D95" s="21" t="str">
        <f>IFERROR(VLOOKUP(A95,AUX!A:B,2,0),"")</f>
        <v/>
      </c>
      <c r="E95" s="19" t="str">
        <f t="shared" si="13"/>
        <v/>
      </c>
      <c r="F95" s="19" t="str">
        <f t="shared" si="14"/>
        <v/>
      </c>
      <c r="G95" s="19" t="str">
        <f t="shared" si="15"/>
        <v/>
      </c>
      <c r="H95" s="19" t="str">
        <f t="shared" si="16"/>
        <v/>
      </c>
      <c r="I95" s="18" t="str">
        <f t="shared" si="11"/>
        <v/>
      </c>
      <c r="J95" s="18" t="str">
        <f t="shared" si="12"/>
        <v/>
      </c>
      <c r="K95" s="19" t="str">
        <f t="shared" si="17"/>
        <v/>
      </c>
      <c r="L95" s="19"/>
      <c r="M95" s="19"/>
      <c r="N95" s="19"/>
    </row>
    <row r="96" spans="1:14" customFormat="1">
      <c r="A96" s="20" t="str">
        <f>IF(BASE!B96=0,"",BASE!B96)</f>
        <v/>
      </c>
      <c r="B96" s="19" t="str">
        <f>IF(BASE!C96=0,"",BASE!C96)</f>
        <v/>
      </c>
      <c r="C96" s="19" t="str">
        <f>IF(BASE!D96=0,"",TRIM(BASE!D96))</f>
        <v/>
      </c>
      <c r="D96" s="21" t="str">
        <f>IFERROR(VLOOKUP(A96,AUX!A:B,2,0),"")</f>
        <v/>
      </c>
      <c r="E96" s="19" t="str">
        <f t="shared" si="13"/>
        <v/>
      </c>
      <c r="F96" s="19" t="str">
        <f t="shared" si="14"/>
        <v/>
      </c>
      <c r="G96" s="19" t="str">
        <f t="shared" si="15"/>
        <v/>
      </c>
      <c r="H96" s="19" t="str">
        <f t="shared" si="16"/>
        <v/>
      </c>
      <c r="I96" s="18" t="str">
        <f t="shared" ref="I96:I159" si="18">E96&amp;G96&amp;H96</f>
        <v/>
      </c>
      <c r="J96" s="18" t="str">
        <f t="shared" ref="J96:J159" si="19">IFERROR(LEFT(B96,FIND(" ",B96)),"")</f>
        <v/>
      </c>
      <c r="K96" s="19" t="str">
        <f t="shared" si="17"/>
        <v/>
      </c>
      <c r="L96" s="19"/>
      <c r="M96" s="19"/>
      <c r="N96" s="19"/>
    </row>
    <row r="97" spans="1:14" customFormat="1">
      <c r="A97" s="20" t="str">
        <f>IF(BASE!B97=0,"",BASE!B97)</f>
        <v/>
      </c>
      <c r="B97" s="19" t="str">
        <f>IF(BASE!C97=0,"",BASE!C97)</f>
        <v/>
      </c>
      <c r="C97" s="19" t="str">
        <f>IF(BASE!D97=0,"",TRIM(BASE!D97))</f>
        <v/>
      </c>
      <c r="D97" s="21" t="str">
        <f>IFERROR(VLOOKUP(A97,AUX!A:B,2,0),"")</f>
        <v/>
      </c>
      <c r="E97" s="19" t="str">
        <f t="shared" si="13"/>
        <v/>
      </c>
      <c r="F97" s="19" t="str">
        <f t="shared" si="14"/>
        <v/>
      </c>
      <c r="G97" s="19" t="str">
        <f t="shared" si="15"/>
        <v/>
      </c>
      <c r="H97" s="19" t="str">
        <f t="shared" si="16"/>
        <v/>
      </c>
      <c r="I97" s="18" t="str">
        <f t="shared" si="18"/>
        <v/>
      </c>
      <c r="J97" s="18" t="str">
        <f t="shared" si="19"/>
        <v/>
      </c>
      <c r="K97" s="19" t="str">
        <f t="shared" si="17"/>
        <v/>
      </c>
      <c r="L97" s="19"/>
      <c r="M97" s="19"/>
      <c r="N97" s="19"/>
    </row>
    <row r="98" spans="1:14" customFormat="1">
      <c r="A98" s="20" t="str">
        <f>IF(BASE!B98=0,"",BASE!B98)</f>
        <v/>
      </c>
      <c r="B98" s="19" t="str">
        <f>IF(BASE!C98=0,"",BASE!C98)</f>
        <v/>
      </c>
      <c r="C98" s="19" t="str">
        <f>IF(BASE!D98=0,"",TRIM(BASE!D98))</f>
        <v/>
      </c>
      <c r="D98" s="21" t="str">
        <f>IFERROR(VLOOKUP(A98,AUX!A:B,2,0),"")</f>
        <v/>
      </c>
      <c r="E98" s="19" t="str">
        <f t="shared" si="13"/>
        <v/>
      </c>
      <c r="F98" s="19" t="str">
        <f t="shared" si="14"/>
        <v/>
      </c>
      <c r="G98" s="19" t="str">
        <f t="shared" si="15"/>
        <v/>
      </c>
      <c r="H98" s="19" t="str">
        <f t="shared" si="16"/>
        <v/>
      </c>
      <c r="I98" s="18" t="str">
        <f t="shared" si="18"/>
        <v/>
      </c>
      <c r="J98" s="18" t="str">
        <f t="shared" si="19"/>
        <v/>
      </c>
      <c r="K98" s="19" t="str">
        <f t="shared" si="17"/>
        <v/>
      </c>
      <c r="L98" s="19"/>
      <c r="M98" s="19"/>
      <c r="N98" s="19"/>
    </row>
    <row r="99" spans="1:14" customFormat="1">
      <c r="A99" s="20" t="str">
        <f>IF(BASE!B99=0,"",BASE!B99)</f>
        <v/>
      </c>
      <c r="B99" s="19" t="str">
        <f>IF(BASE!C99=0,"",BASE!C99)</f>
        <v/>
      </c>
      <c r="C99" s="19" t="str">
        <f>IF(BASE!D99=0,"",TRIM(BASE!D99))</f>
        <v/>
      </c>
      <c r="D99" s="21" t="str">
        <f>IFERROR(VLOOKUP(A99,AUX!A:B,2,0),"")</f>
        <v/>
      </c>
      <c r="E99" s="19" t="str">
        <f t="shared" si="13"/>
        <v/>
      </c>
      <c r="F99" s="19" t="str">
        <f t="shared" si="14"/>
        <v/>
      </c>
      <c r="G99" s="19" t="str">
        <f t="shared" si="15"/>
        <v/>
      </c>
      <c r="H99" s="19" t="str">
        <f t="shared" si="16"/>
        <v/>
      </c>
      <c r="I99" s="18" t="str">
        <f t="shared" si="18"/>
        <v/>
      </c>
      <c r="J99" s="18" t="str">
        <f t="shared" si="19"/>
        <v/>
      </c>
      <c r="K99" s="19" t="str">
        <f t="shared" si="17"/>
        <v/>
      </c>
      <c r="L99" s="19"/>
      <c r="M99" s="19"/>
      <c r="N99" s="19"/>
    </row>
    <row r="100" spans="1:14" customFormat="1">
      <c r="A100" s="20" t="str">
        <f>IF(BASE!B100=0,"",BASE!B100)</f>
        <v/>
      </c>
      <c r="B100" s="19" t="str">
        <f>IF(BASE!C100=0,"",BASE!C100)</f>
        <v/>
      </c>
      <c r="C100" s="19" t="str">
        <f>IF(BASE!D100=0,"",TRIM(BASE!D100))</f>
        <v/>
      </c>
      <c r="D100" s="21" t="str">
        <f>IFERROR(VLOOKUP(A100,AUX!A:B,2,0),"")</f>
        <v/>
      </c>
      <c r="E100" s="19" t="str">
        <f t="shared" si="13"/>
        <v/>
      </c>
      <c r="F100" s="19" t="str">
        <f t="shared" si="14"/>
        <v/>
      </c>
      <c r="G100" s="19" t="str">
        <f t="shared" si="15"/>
        <v/>
      </c>
      <c r="H100" s="19" t="str">
        <f t="shared" si="16"/>
        <v/>
      </c>
      <c r="I100" s="18" t="str">
        <f t="shared" si="18"/>
        <v/>
      </c>
      <c r="J100" s="18" t="str">
        <f t="shared" si="19"/>
        <v/>
      </c>
      <c r="K100" s="19" t="str">
        <f t="shared" si="17"/>
        <v/>
      </c>
      <c r="L100" s="19"/>
      <c r="M100" s="19"/>
      <c r="N100" s="19"/>
    </row>
    <row r="101" spans="1:14" customFormat="1">
      <c r="A101" s="20" t="str">
        <f>IF(BASE!B101=0,"",BASE!B101)</f>
        <v/>
      </c>
      <c r="B101" s="19" t="str">
        <f>IF(BASE!C101=0,"",BASE!C101)</f>
        <v/>
      </c>
      <c r="C101" s="19" t="str">
        <f>IF(BASE!D101=0,"",TRIM(BASE!D101))</f>
        <v/>
      </c>
      <c r="D101" s="21" t="str">
        <f>IFERROR(VLOOKUP(A101,AUX!A:B,2,0),"")</f>
        <v/>
      </c>
      <c r="E101" s="19" t="str">
        <f t="shared" si="13"/>
        <v/>
      </c>
      <c r="F101" s="19" t="str">
        <f t="shared" si="14"/>
        <v/>
      </c>
      <c r="G101" s="19" t="str">
        <f t="shared" si="15"/>
        <v/>
      </c>
      <c r="H101" s="19" t="str">
        <f t="shared" si="16"/>
        <v/>
      </c>
      <c r="I101" s="18" t="str">
        <f t="shared" si="18"/>
        <v/>
      </c>
      <c r="J101" s="18" t="str">
        <f t="shared" si="19"/>
        <v/>
      </c>
      <c r="K101" s="19" t="str">
        <f t="shared" si="17"/>
        <v/>
      </c>
      <c r="L101" s="19"/>
      <c r="M101" s="19"/>
      <c r="N101" s="19"/>
    </row>
    <row r="102" spans="1:14" customFormat="1">
      <c r="A102" s="20" t="str">
        <f>IF(BASE!B102=0,"",BASE!B102)</f>
        <v/>
      </c>
      <c r="B102" s="19" t="str">
        <f>IF(BASE!C102=0,"",BASE!C102)</f>
        <v/>
      </c>
      <c r="C102" s="19" t="str">
        <f>IF(BASE!D102=0,"",TRIM(BASE!D102))</f>
        <v/>
      </c>
      <c r="D102" s="21" t="str">
        <f>IFERROR(VLOOKUP(A102,AUX!A:B,2,0),"")</f>
        <v/>
      </c>
      <c r="E102" s="19" t="str">
        <f t="shared" si="13"/>
        <v/>
      </c>
      <c r="F102" s="19" t="str">
        <f t="shared" si="14"/>
        <v/>
      </c>
      <c r="G102" s="19" t="str">
        <f t="shared" si="15"/>
        <v/>
      </c>
      <c r="H102" s="19" t="str">
        <f t="shared" si="16"/>
        <v/>
      </c>
      <c r="I102" s="18" t="str">
        <f t="shared" si="18"/>
        <v/>
      </c>
      <c r="J102" s="18" t="str">
        <f t="shared" si="19"/>
        <v/>
      </c>
      <c r="K102" s="19" t="str">
        <f t="shared" si="17"/>
        <v/>
      </c>
      <c r="L102" s="19"/>
      <c r="M102" s="19"/>
      <c r="N102" s="19"/>
    </row>
    <row r="103" spans="1:14" customFormat="1">
      <c r="A103" s="20" t="str">
        <f>IF(BASE!B103=0,"",BASE!B103)</f>
        <v/>
      </c>
      <c r="B103" s="19" t="str">
        <f>IF(BASE!C103=0,"",BASE!C103)</f>
        <v/>
      </c>
      <c r="C103" s="19" t="str">
        <f>IF(BASE!D103=0,"",TRIM(BASE!D103))</f>
        <v/>
      </c>
      <c r="D103" s="21" t="str">
        <f>IFERROR(VLOOKUP(A103,AUX!A:B,2,0),"")</f>
        <v/>
      </c>
      <c r="E103" s="19" t="str">
        <f t="shared" si="13"/>
        <v/>
      </c>
      <c r="F103" s="19" t="str">
        <f t="shared" si="14"/>
        <v/>
      </c>
      <c r="G103" s="19" t="str">
        <f t="shared" si="15"/>
        <v/>
      </c>
      <c r="H103" s="19" t="str">
        <f t="shared" si="16"/>
        <v/>
      </c>
      <c r="I103" s="18" t="str">
        <f t="shared" si="18"/>
        <v/>
      </c>
      <c r="J103" s="18" t="str">
        <f t="shared" si="19"/>
        <v/>
      </c>
      <c r="K103" s="19" t="str">
        <f t="shared" si="17"/>
        <v/>
      </c>
      <c r="L103" s="19"/>
      <c r="M103" s="19"/>
      <c r="N103" s="19"/>
    </row>
    <row r="104" spans="1:14" customFormat="1">
      <c r="A104" s="20" t="str">
        <f>IF(BASE!B104=0,"",BASE!B104)</f>
        <v/>
      </c>
      <c r="B104" s="19" t="str">
        <f>IF(BASE!C104=0,"",BASE!C104)</f>
        <v/>
      </c>
      <c r="C104" s="19" t="str">
        <f>IF(BASE!D104=0,"",TRIM(BASE!D104))</f>
        <v/>
      </c>
      <c r="D104" s="21" t="str">
        <f>IFERROR(VLOOKUP(A104,AUX!A:B,2,0),"")</f>
        <v/>
      </c>
      <c r="E104" s="19" t="str">
        <f t="shared" si="13"/>
        <v/>
      </c>
      <c r="F104" s="19" t="str">
        <f t="shared" si="14"/>
        <v/>
      </c>
      <c r="G104" s="19" t="str">
        <f t="shared" si="15"/>
        <v/>
      </c>
      <c r="H104" s="19" t="str">
        <f t="shared" si="16"/>
        <v/>
      </c>
      <c r="I104" s="18" t="str">
        <f t="shared" si="18"/>
        <v/>
      </c>
      <c r="J104" s="18" t="str">
        <f t="shared" si="19"/>
        <v/>
      </c>
      <c r="K104" s="19" t="str">
        <f t="shared" si="17"/>
        <v/>
      </c>
      <c r="L104" s="19"/>
      <c r="M104" s="19"/>
      <c r="N104" s="19"/>
    </row>
    <row r="105" spans="1:14" customFormat="1">
      <c r="A105" s="20" t="str">
        <f>IF(BASE!B105=0,"",BASE!B105)</f>
        <v/>
      </c>
      <c r="B105" s="19" t="str">
        <f>IF(BASE!C105=0,"",BASE!C105)</f>
        <v/>
      </c>
      <c r="C105" s="19" t="str">
        <f>IF(BASE!D105=0,"",TRIM(BASE!D105))</f>
        <v/>
      </c>
      <c r="D105" s="21" t="str">
        <f>IFERROR(VLOOKUP(A105,AUX!A:B,2,0),"")</f>
        <v/>
      </c>
      <c r="E105" s="19" t="str">
        <f t="shared" si="13"/>
        <v/>
      </c>
      <c r="F105" s="19" t="str">
        <f t="shared" si="14"/>
        <v/>
      </c>
      <c r="G105" s="19" t="str">
        <f t="shared" si="15"/>
        <v/>
      </c>
      <c r="H105" s="19" t="str">
        <f t="shared" si="16"/>
        <v/>
      </c>
      <c r="I105" s="18" t="str">
        <f t="shared" si="18"/>
        <v/>
      </c>
      <c r="J105" s="18" t="str">
        <f t="shared" si="19"/>
        <v/>
      </c>
      <c r="K105" s="19" t="str">
        <f t="shared" si="17"/>
        <v/>
      </c>
      <c r="L105" s="19"/>
      <c r="M105" s="19"/>
      <c r="N105" s="19"/>
    </row>
    <row r="106" spans="1:14" customFormat="1">
      <c r="A106" s="20" t="str">
        <f>IF(BASE!B106=0,"",BASE!B106)</f>
        <v/>
      </c>
      <c r="B106" s="19" t="str">
        <f>IF(BASE!C106=0,"",BASE!C106)</f>
        <v/>
      </c>
      <c r="C106" s="19" t="str">
        <f>IF(BASE!D106=0,"",TRIM(BASE!D106))</f>
        <v/>
      </c>
      <c r="D106" s="21" t="str">
        <f>IFERROR(VLOOKUP(A106,AUX!A:B,2,0),"")</f>
        <v/>
      </c>
      <c r="E106" s="19" t="str">
        <f t="shared" si="13"/>
        <v/>
      </c>
      <c r="F106" s="19" t="str">
        <f t="shared" si="14"/>
        <v/>
      </c>
      <c r="G106" s="19" t="str">
        <f t="shared" si="15"/>
        <v/>
      </c>
      <c r="H106" s="19" t="str">
        <f t="shared" si="16"/>
        <v/>
      </c>
      <c r="I106" s="18" t="str">
        <f t="shared" si="18"/>
        <v/>
      </c>
      <c r="J106" s="18" t="str">
        <f t="shared" si="19"/>
        <v/>
      </c>
      <c r="K106" s="19" t="str">
        <f t="shared" si="17"/>
        <v/>
      </c>
      <c r="L106" s="19"/>
      <c r="M106" s="19"/>
      <c r="N106" s="19"/>
    </row>
    <row r="107" spans="1:14" customFormat="1">
      <c r="A107" s="20" t="str">
        <f>IF(BASE!B107=0,"",BASE!B107)</f>
        <v/>
      </c>
      <c r="B107" s="19" t="str">
        <f>IF(BASE!C107=0,"",BASE!C107)</f>
        <v/>
      </c>
      <c r="C107" s="19" t="str">
        <f>IF(BASE!D107=0,"",TRIM(BASE!D107))</f>
        <v/>
      </c>
      <c r="D107" s="21" t="str">
        <f>IFERROR(VLOOKUP(A107,AUX!A:B,2,0),"")</f>
        <v/>
      </c>
      <c r="E107" s="19" t="str">
        <f t="shared" si="13"/>
        <v/>
      </c>
      <c r="F107" s="19" t="str">
        <f t="shared" si="14"/>
        <v/>
      </c>
      <c r="G107" s="19" t="str">
        <f t="shared" si="15"/>
        <v/>
      </c>
      <c r="H107" s="19" t="str">
        <f t="shared" si="16"/>
        <v/>
      </c>
      <c r="I107" s="18" t="str">
        <f t="shared" si="18"/>
        <v/>
      </c>
      <c r="J107" s="18" t="str">
        <f t="shared" si="19"/>
        <v/>
      </c>
      <c r="K107" s="19" t="str">
        <f t="shared" si="17"/>
        <v/>
      </c>
      <c r="L107" s="19"/>
      <c r="M107" s="19"/>
      <c r="N107" s="19"/>
    </row>
    <row r="108" spans="1:14" customFormat="1">
      <c r="A108" s="20" t="str">
        <f>IF(BASE!B108=0,"",BASE!B108)</f>
        <v/>
      </c>
      <c r="B108" s="19" t="str">
        <f>IF(BASE!C108=0,"",BASE!C108)</f>
        <v/>
      </c>
      <c r="C108" s="19" t="str">
        <f>IF(BASE!D108=0,"",TRIM(BASE!D108))</f>
        <v/>
      </c>
      <c r="D108" s="21" t="str">
        <f>IFERROR(VLOOKUP(A108,AUX!A:B,2,0),"")</f>
        <v/>
      </c>
      <c r="E108" s="19" t="str">
        <f t="shared" si="13"/>
        <v/>
      </c>
      <c r="F108" s="19" t="str">
        <f t="shared" si="14"/>
        <v/>
      </c>
      <c r="G108" s="19" t="str">
        <f t="shared" si="15"/>
        <v/>
      </c>
      <c r="H108" s="19" t="str">
        <f t="shared" si="16"/>
        <v/>
      </c>
      <c r="I108" s="18" t="str">
        <f t="shared" si="18"/>
        <v/>
      </c>
      <c r="J108" s="18" t="str">
        <f t="shared" si="19"/>
        <v/>
      </c>
      <c r="K108" s="19" t="str">
        <f t="shared" si="17"/>
        <v/>
      </c>
      <c r="L108" s="19"/>
      <c r="M108" s="19"/>
      <c r="N108" s="19"/>
    </row>
    <row r="109" spans="1:14" customFormat="1">
      <c r="A109" s="20" t="str">
        <f>IF(BASE!B109=0,"",BASE!B109)</f>
        <v/>
      </c>
      <c r="B109" s="19" t="str">
        <f>IF(BASE!C109=0,"",BASE!C109)</f>
        <v/>
      </c>
      <c r="C109" s="19" t="str">
        <f>IF(BASE!D109=0,"",TRIM(BASE!D109))</f>
        <v/>
      </c>
      <c r="D109" s="21" t="str">
        <f>IFERROR(VLOOKUP(A109,AUX!A:B,2,0),"")</f>
        <v/>
      </c>
      <c r="E109" s="19" t="str">
        <f t="shared" si="13"/>
        <v/>
      </c>
      <c r="F109" s="19" t="str">
        <f t="shared" si="14"/>
        <v/>
      </c>
      <c r="G109" s="19" t="str">
        <f t="shared" si="15"/>
        <v/>
      </c>
      <c r="H109" s="19" t="str">
        <f t="shared" si="16"/>
        <v/>
      </c>
      <c r="I109" s="18" t="str">
        <f t="shared" si="18"/>
        <v/>
      </c>
      <c r="J109" s="18" t="str">
        <f t="shared" si="19"/>
        <v/>
      </c>
      <c r="K109" s="19" t="str">
        <f t="shared" si="17"/>
        <v/>
      </c>
      <c r="L109" s="19"/>
      <c r="M109" s="19"/>
      <c r="N109" s="19"/>
    </row>
    <row r="110" spans="1:14" customFormat="1">
      <c r="A110" s="20" t="str">
        <f>IF(BASE!B110=0,"",BASE!B110)</f>
        <v/>
      </c>
      <c r="B110" s="19" t="str">
        <f>IF(BASE!C110=0,"",BASE!C110)</f>
        <v/>
      </c>
      <c r="C110" s="19" t="str">
        <f>IF(BASE!D110=0,"",TRIM(BASE!D110))</f>
        <v/>
      </c>
      <c r="D110" s="21" t="str">
        <f>IFERROR(VLOOKUP(A110,AUX!A:B,2,0),"")</f>
        <v/>
      </c>
      <c r="E110" s="19" t="str">
        <f t="shared" si="13"/>
        <v/>
      </c>
      <c r="F110" s="19" t="str">
        <f t="shared" si="14"/>
        <v/>
      </c>
      <c r="G110" s="19" t="str">
        <f t="shared" si="15"/>
        <v/>
      </c>
      <c r="H110" s="19" t="str">
        <f t="shared" si="16"/>
        <v/>
      </c>
      <c r="I110" s="18" t="str">
        <f t="shared" si="18"/>
        <v/>
      </c>
      <c r="J110" s="18" t="str">
        <f t="shared" si="19"/>
        <v/>
      </c>
      <c r="K110" s="19" t="str">
        <f t="shared" si="17"/>
        <v/>
      </c>
      <c r="L110" s="19"/>
      <c r="M110" s="19"/>
      <c r="N110" s="19"/>
    </row>
    <row r="111" spans="1:14" customFormat="1">
      <c r="A111" s="20" t="str">
        <f>IF(BASE!B111=0,"",BASE!B111)</f>
        <v/>
      </c>
      <c r="B111" s="19" t="str">
        <f>IF(BASE!C111=0,"",BASE!C111)</f>
        <v/>
      </c>
      <c r="C111" s="19" t="str">
        <f>IF(BASE!D111=0,"",TRIM(BASE!D111))</f>
        <v/>
      </c>
      <c r="D111" s="21" t="str">
        <f>IFERROR(VLOOKUP(A111,AUX!A:B,2,0),"")</f>
        <v/>
      </c>
      <c r="E111" s="19" t="str">
        <f t="shared" si="13"/>
        <v/>
      </c>
      <c r="F111" s="19" t="str">
        <f t="shared" si="14"/>
        <v/>
      </c>
      <c r="G111" s="19" t="str">
        <f t="shared" si="15"/>
        <v/>
      </c>
      <c r="H111" s="19" t="str">
        <f t="shared" si="16"/>
        <v/>
      </c>
      <c r="I111" s="18" t="str">
        <f t="shared" si="18"/>
        <v/>
      </c>
      <c r="J111" s="18" t="str">
        <f t="shared" si="19"/>
        <v/>
      </c>
      <c r="K111" s="19" t="str">
        <f t="shared" si="17"/>
        <v/>
      </c>
      <c r="L111" s="19"/>
      <c r="M111" s="19"/>
      <c r="N111" s="19"/>
    </row>
    <row r="112" spans="1:14" customFormat="1">
      <c r="A112" s="20" t="str">
        <f>IF(BASE!B112=0,"",BASE!B112)</f>
        <v/>
      </c>
      <c r="B112" s="19" t="str">
        <f>IF(BASE!C112=0,"",BASE!C112)</f>
        <v/>
      </c>
      <c r="C112" s="19" t="str">
        <f>IF(BASE!D112=0,"",TRIM(BASE!D112))</f>
        <v/>
      </c>
      <c r="D112" s="21" t="str">
        <f>IFERROR(VLOOKUP(A112,AUX!A:B,2,0),"")</f>
        <v/>
      </c>
      <c r="E112" s="19" t="str">
        <f t="shared" si="13"/>
        <v/>
      </c>
      <c r="F112" s="19" t="str">
        <f t="shared" si="14"/>
        <v/>
      </c>
      <c r="G112" s="19" t="str">
        <f t="shared" si="15"/>
        <v/>
      </c>
      <c r="H112" s="19" t="str">
        <f t="shared" si="16"/>
        <v/>
      </c>
      <c r="I112" s="18" t="str">
        <f t="shared" si="18"/>
        <v/>
      </c>
      <c r="J112" s="18" t="str">
        <f t="shared" si="19"/>
        <v/>
      </c>
      <c r="K112" s="19" t="str">
        <f t="shared" si="17"/>
        <v/>
      </c>
      <c r="L112" s="19"/>
      <c r="M112" s="19"/>
      <c r="N112" s="19"/>
    </row>
    <row r="113" spans="1:14" customFormat="1">
      <c r="A113" s="20" t="str">
        <f>IF(BASE!B113=0,"",BASE!B113)</f>
        <v/>
      </c>
      <c r="B113" s="19" t="str">
        <f>IF(BASE!C113=0,"",BASE!C113)</f>
        <v/>
      </c>
      <c r="C113" s="19" t="str">
        <f>IF(BASE!D113=0,"",TRIM(BASE!D113))</f>
        <v/>
      </c>
      <c r="D113" s="21" t="str">
        <f>IFERROR(VLOOKUP(A113,AUX!A:B,2,0),"")</f>
        <v/>
      </c>
      <c r="E113" s="19" t="str">
        <f t="shared" si="13"/>
        <v/>
      </c>
      <c r="F113" s="19" t="str">
        <f t="shared" si="14"/>
        <v/>
      </c>
      <c r="G113" s="19" t="str">
        <f t="shared" si="15"/>
        <v/>
      </c>
      <c r="H113" s="19" t="str">
        <f t="shared" si="16"/>
        <v/>
      </c>
      <c r="I113" s="18" t="str">
        <f t="shared" si="18"/>
        <v/>
      </c>
      <c r="J113" s="18" t="str">
        <f t="shared" si="19"/>
        <v/>
      </c>
      <c r="K113" s="19" t="str">
        <f t="shared" si="17"/>
        <v/>
      </c>
      <c r="L113" s="19"/>
      <c r="M113" s="19"/>
      <c r="N113" s="19"/>
    </row>
    <row r="114" spans="1:14" customFormat="1">
      <c r="A114" s="20" t="str">
        <f>IF(BASE!B114=0,"",BASE!B114)</f>
        <v/>
      </c>
      <c r="B114" s="19" t="str">
        <f>IF(BASE!C114=0,"",BASE!C114)</f>
        <v/>
      </c>
      <c r="C114" s="19" t="str">
        <f>IF(BASE!D114=0,"",TRIM(BASE!D114))</f>
        <v/>
      </c>
      <c r="D114" s="21" t="str">
        <f>IFERROR(VLOOKUP(A114,AUX!A:B,2,0),"")</f>
        <v/>
      </c>
      <c r="E114" s="19" t="str">
        <f t="shared" si="13"/>
        <v/>
      </c>
      <c r="F114" s="19" t="str">
        <f t="shared" si="14"/>
        <v/>
      </c>
      <c r="G114" s="19" t="str">
        <f t="shared" si="15"/>
        <v/>
      </c>
      <c r="H114" s="19" t="str">
        <f t="shared" si="16"/>
        <v/>
      </c>
      <c r="I114" s="18" t="str">
        <f t="shared" si="18"/>
        <v/>
      </c>
      <c r="J114" s="18" t="str">
        <f t="shared" si="19"/>
        <v/>
      </c>
      <c r="K114" s="19" t="str">
        <f t="shared" si="17"/>
        <v/>
      </c>
      <c r="L114" s="19"/>
      <c r="M114" s="19"/>
      <c r="N114" s="19"/>
    </row>
    <row r="115" spans="1:14" customFormat="1">
      <c r="A115" s="20" t="str">
        <f>IF(BASE!B115=0,"",BASE!B115)</f>
        <v/>
      </c>
      <c r="B115" s="19" t="str">
        <f>IF(BASE!C115=0,"",BASE!C115)</f>
        <v/>
      </c>
      <c r="C115" s="19" t="str">
        <f>IF(BASE!D115=0,"",TRIM(BASE!D115))</f>
        <v/>
      </c>
      <c r="D115" s="21" t="str">
        <f>IFERROR(VLOOKUP(A115,AUX!A:B,2,0),"")</f>
        <v/>
      </c>
      <c r="E115" s="19" t="str">
        <f t="shared" si="13"/>
        <v/>
      </c>
      <c r="F115" s="19" t="str">
        <f t="shared" si="14"/>
        <v/>
      </c>
      <c r="G115" s="19" t="str">
        <f t="shared" si="15"/>
        <v/>
      </c>
      <c r="H115" s="19" t="str">
        <f t="shared" si="16"/>
        <v/>
      </c>
      <c r="I115" s="18" t="str">
        <f t="shared" si="18"/>
        <v/>
      </c>
      <c r="J115" s="18" t="str">
        <f t="shared" si="19"/>
        <v/>
      </c>
      <c r="K115" s="19" t="str">
        <f t="shared" si="17"/>
        <v/>
      </c>
      <c r="L115" s="19"/>
      <c r="M115" s="19"/>
      <c r="N115" s="19"/>
    </row>
    <row r="116" spans="1:14" customFormat="1">
      <c r="A116" s="20" t="str">
        <f>IF(BASE!B116=0,"",BASE!B116)</f>
        <v/>
      </c>
      <c r="B116" s="19" t="str">
        <f>IF(BASE!C116=0,"",BASE!C116)</f>
        <v/>
      </c>
      <c r="C116" s="19" t="str">
        <f>IF(BASE!D116=0,"",TRIM(BASE!D116))</f>
        <v/>
      </c>
      <c r="D116" s="21" t="str">
        <f>IFERROR(VLOOKUP(A116,AUX!A:B,2,0),"")</f>
        <v/>
      </c>
      <c r="E116" s="19" t="str">
        <f t="shared" si="13"/>
        <v/>
      </c>
      <c r="F116" s="19" t="str">
        <f t="shared" si="14"/>
        <v/>
      </c>
      <c r="G116" s="19" t="str">
        <f t="shared" si="15"/>
        <v/>
      </c>
      <c r="H116" s="19" t="str">
        <f t="shared" si="16"/>
        <v/>
      </c>
      <c r="I116" s="18" t="str">
        <f t="shared" si="18"/>
        <v/>
      </c>
      <c r="J116" s="18" t="str">
        <f t="shared" si="19"/>
        <v/>
      </c>
      <c r="K116" s="19" t="str">
        <f t="shared" si="17"/>
        <v/>
      </c>
      <c r="L116" s="19"/>
      <c r="M116" s="19"/>
      <c r="N116" s="19"/>
    </row>
    <row r="117" spans="1:14" customFormat="1">
      <c r="A117" s="20" t="str">
        <f>IF(BASE!B117=0,"",BASE!B117)</f>
        <v/>
      </c>
      <c r="B117" s="19" t="str">
        <f>IF(BASE!C117=0,"",BASE!C117)</f>
        <v/>
      </c>
      <c r="C117" s="19" t="str">
        <f>IF(BASE!D117=0,"",TRIM(BASE!D117))</f>
        <v/>
      </c>
      <c r="D117" s="21" t="str">
        <f>IFERROR(VLOOKUP(A117,AUX!A:B,2,0),"")</f>
        <v/>
      </c>
      <c r="E117" s="19" t="str">
        <f t="shared" si="13"/>
        <v/>
      </c>
      <c r="F117" s="19" t="str">
        <f t="shared" si="14"/>
        <v/>
      </c>
      <c r="G117" s="19" t="str">
        <f t="shared" si="15"/>
        <v/>
      </c>
      <c r="H117" s="19" t="str">
        <f t="shared" si="16"/>
        <v/>
      </c>
      <c r="I117" s="18" t="str">
        <f t="shared" si="18"/>
        <v/>
      </c>
      <c r="J117" s="18" t="str">
        <f t="shared" si="19"/>
        <v/>
      </c>
      <c r="K117" s="19" t="str">
        <f t="shared" si="17"/>
        <v/>
      </c>
      <c r="L117" s="19"/>
      <c r="M117" s="19"/>
      <c r="N117" s="19"/>
    </row>
    <row r="118" spans="1:14" customFormat="1">
      <c r="A118" s="20" t="str">
        <f>IF(BASE!B118=0,"",BASE!B118)</f>
        <v/>
      </c>
      <c r="B118" s="19" t="str">
        <f>IF(BASE!C118=0,"",BASE!C118)</f>
        <v/>
      </c>
      <c r="C118" s="19" t="str">
        <f>IF(BASE!D118=0,"",TRIM(BASE!D118))</f>
        <v/>
      </c>
      <c r="D118" s="21" t="str">
        <f>IFERROR(VLOOKUP(A118,AUX!A:B,2,0),"")</f>
        <v/>
      </c>
      <c r="E118" s="19" t="str">
        <f t="shared" si="13"/>
        <v/>
      </c>
      <c r="F118" s="19" t="str">
        <f t="shared" si="14"/>
        <v/>
      </c>
      <c r="G118" s="19" t="str">
        <f t="shared" si="15"/>
        <v/>
      </c>
      <c r="H118" s="19" t="str">
        <f t="shared" si="16"/>
        <v/>
      </c>
      <c r="I118" s="18" t="str">
        <f t="shared" si="18"/>
        <v/>
      </c>
      <c r="J118" s="18" t="str">
        <f t="shared" si="19"/>
        <v/>
      </c>
      <c r="K118" s="19" t="str">
        <f t="shared" si="17"/>
        <v/>
      </c>
      <c r="L118" s="19"/>
      <c r="M118" s="19"/>
      <c r="N118" s="19"/>
    </row>
    <row r="119" spans="1:14" customFormat="1">
      <c r="A119" s="20" t="str">
        <f>IF(BASE!B119=0,"",BASE!B119)</f>
        <v/>
      </c>
      <c r="B119" s="19" t="str">
        <f>IF(BASE!C119=0,"",BASE!C119)</f>
        <v/>
      </c>
      <c r="C119" s="19" t="str">
        <f>IF(BASE!D119=0,"",TRIM(BASE!D119))</f>
        <v/>
      </c>
      <c r="D119" s="21" t="str">
        <f>IFERROR(VLOOKUP(A119,AUX!A:B,2,0),"")</f>
        <v/>
      </c>
      <c r="E119" s="19" t="str">
        <f t="shared" si="13"/>
        <v/>
      </c>
      <c r="F119" s="19" t="str">
        <f t="shared" si="14"/>
        <v/>
      </c>
      <c r="G119" s="19" t="str">
        <f t="shared" si="15"/>
        <v/>
      </c>
      <c r="H119" s="19" t="str">
        <f t="shared" si="16"/>
        <v/>
      </c>
      <c r="I119" s="18" t="str">
        <f t="shared" si="18"/>
        <v/>
      </c>
      <c r="J119" s="18" t="str">
        <f t="shared" si="19"/>
        <v/>
      </c>
      <c r="K119" s="19" t="str">
        <f t="shared" si="17"/>
        <v/>
      </c>
      <c r="L119" s="19"/>
      <c r="M119" s="19"/>
      <c r="N119" s="19"/>
    </row>
    <row r="120" spans="1:14" customFormat="1">
      <c r="A120" s="20" t="str">
        <f>IF(BASE!B120=0,"",BASE!B120)</f>
        <v/>
      </c>
      <c r="B120" s="19" t="str">
        <f>IF(BASE!C120=0,"",BASE!C120)</f>
        <v/>
      </c>
      <c r="C120" s="19" t="str">
        <f>IF(BASE!D120=0,"",TRIM(BASE!D120))</f>
        <v/>
      </c>
      <c r="D120" s="21" t="str">
        <f>IFERROR(VLOOKUP(A120,AUX!A:B,2,0),"")</f>
        <v/>
      </c>
      <c r="E120" s="19" t="str">
        <f t="shared" si="13"/>
        <v/>
      </c>
      <c r="F120" s="19" t="str">
        <f t="shared" si="14"/>
        <v/>
      </c>
      <c r="G120" s="19" t="str">
        <f t="shared" si="15"/>
        <v/>
      </c>
      <c r="H120" s="19" t="str">
        <f t="shared" si="16"/>
        <v/>
      </c>
      <c r="I120" s="18" t="str">
        <f t="shared" si="18"/>
        <v/>
      </c>
      <c r="J120" s="18" t="str">
        <f t="shared" si="19"/>
        <v/>
      </c>
      <c r="K120" s="19" t="str">
        <f t="shared" si="17"/>
        <v/>
      </c>
      <c r="L120" s="19"/>
      <c r="M120" s="19"/>
      <c r="N120" s="19"/>
    </row>
    <row r="121" spans="1:14" customFormat="1">
      <c r="A121" s="20" t="str">
        <f>IF(BASE!B121=0,"",BASE!B121)</f>
        <v/>
      </c>
      <c r="B121" s="19" t="str">
        <f>IF(BASE!C121=0,"",BASE!C121)</f>
        <v/>
      </c>
      <c r="C121" s="19" t="str">
        <f>IF(BASE!D121=0,"",TRIM(BASE!D121))</f>
        <v/>
      </c>
      <c r="D121" s="21" t="str">
        <f>IFERROR(VLOOKUP(A121,AUX!A:B,2,0),"")</f>
        <v/>
      </c>
      <c r="E121" s="19" t="str">
        <f t="shared" si="13"/>
        <v/>
      </c>
      <c r="F121" s="19" t="str">
        <f t="shared" si="14"/>
        <v/>
      </c>
      <c r="G121" s="19" t="str">
        <f t="shared" si="15"/>
        <v/>
      </c>
      <c r="H121" s="19" t="str">
        <f t="shared" si="16"/>
        <v/>
      </c>
      <c r="I121" s="18" t="str">
        <f t="shared" si="18"/>
        <v/>
      </c>
      <c r="J121" s="18" t="str">
        <f t="shared" si="19"/>
        <v/>
      </c>
      <c r="K121" s="19" t="str">
        <f t="shared" si="17"/>
        <v/>
      </c>
      <c r="L121" s="19"/>
      <c r="M121" s="19"/>
      <c r="N121" s="19"/>
    </row>
    <row r="122" spans="1:14" customFormat="1">
      <c r="A122" s="20" t="str">
        <f>IF(BASE!B122=0,"",BASE!B122)</f>
        <v/>
      </c>
      <c r="B122" s="19" t="str">
        <f>IF(BASE!C122=0,"",BASE!C122)</f>
        <v/>
      </c>
      <c r="C122" s="19" t="str">
        <f>IF(BASE!D122=0,"",TRIM(BASE!D122))</f>
        <v/>
      </c>
      <c r="D122" s="21" t="str">
        <f>IFERROR(VLOOKUP(A122,AUX!A:B,2,0),"")</f>
        <v/>
      </c>
      <c r="E122" s="19" t="str">
        <f t="shared" si="13"/>
        <v/>
      </c>
      <c r="F122" s="19" t="str">
        <f t="shared" si="14"/>
        <v/>
      </c>
      <c r="G122" s="19" t="str">
        <f t="shared" si="15"/>
        <v/>
      </c>
      <c r="H122" s="19" t="str">
        <f t="shared" si="16"/>
        <v/>
      </c>
      <c r="I122" s="18" t="str">
        <f t="shared" si="18"/>
        <v/>
      </c>
      <c r="J122" s="18" t="str">
        <f t="shared" si="19"/>
        <v/>
      </c>
      <c r="K122" s="19" t="str">
        <f t="shared" si="17"/>
        <v/>
      </c>
      <c r="L122" s="19"/>
      <c r="M122" s="19"/>
      <c r="N122" s="19"/>
    </row>
    <row r="123" spans="1:14" customFormat="1">
      <c r="A123" s="20" t="str">
        <f>IF(BASE!B123=0,"",BASE!B123)</f>
        <v/>
      </c>
      <c r="B123" s="19" t="str">
        <f>IF(BASE!C123=0,"",BASE!C123)</f>
        <v/>
      </c>
      <c r="C123" s="19" t="str">
        <f>IF(BASE!D123=0,"",TRIM(BASE!D123))</f>
        <v/>
      </c>
      <c r="D123" s="21" t="str">
        <f>IFERROR(VLOOKUP(A123,AUX!A:B,2,0),"")</f>
        <v/>
      </c>
      <c r="E123" s="19" t="str">
        <f t="shared" si="13"/>
        <v/>
      </c>
      <c r="F123" s="19" t="str">
        <f t="shared" si="14"/>
        <v/>
      </c>
      <c r="G123" s="19" t="str">
        <f t="shared" si="15"/>
        <v/>
      </c>
      <c r="H123" s="19" t="str">
        <f t="shared" si="16"/>
        <v/>
      </c>
      <c r="I123" s="18" t="str">
        <f t="shared" si="18"/>
        <v/>
      </c>
      <c r="J123" s="18" t="str">
        <f t="shared" si="19"/>
        <v/>
      </c>
      <c r="K123" s="19" t="str">
        <f t="shared" si="17"/>
        <v/>
      </c>
      <c r="L123" s="19"/>
      <c r="M123" s="19"/>
      <c r="N123" s="19"/>
    </row>
    <row r="124" spans="1:14" customFormat="1">
      <c r="A124" s="20" t="str">
        <f>IF(BASE!B124=0,"",BASE!B124)</f>
        <v/>
      </c>
      <c r="B124" s="19" t="str">
        <f>IF(BASE!C124=0,"",BASE!C124)</f>
        <v/>
      </c>
      <c r="C124" s="19" t="str">
        <f>IF(BASE!D124=0,"",TRIM(BASE!D124))</f>
        <v/>
      </c>
      <c r="D124" s="21" t="str">
        <f>IFERROR(VLOOKUP(A124,AUX!A:B,2,0),"")</f>
        <v/>
      </c>
      <c r="E124" s="19" t="str">
        <f t="shared" si="13"/>
        <v/>
      </c>
      <c r="F124" s="19" t="str">
        <f t="shared" si="14"/>
        <v/>
      </c>
      <c r="G124" s="19" t="str">
        <f t="shared" si="15"/>
        <v/>
      </c>
      <c r="H124" s="19" t="str">
        <f t="shared" si="16"/>
        <v/>
      </c>
      <c r="I124" s="18" t="str">
        <f t="shared" si="18"/>
        <v/>
      </c>
      <c r="J124" s="18" t="str">
        <f t="shared" si="19"/>
        <v/>
      </c>
      <c r="K124" s="19" t="str">
        <f t="shared" si="17"/>
        <v/>
      </c>
      <c r="L124" s="19"/>
      <c r="M124" s="19"/>
      <c r="N124" s="19"/>
    </row>
    <row r="125" spans="1:14" customFormat="1">
      <c r="A125" s="20" t="str">
        <f>IF(BASE!B125=0,"",BASE!B125)</f>
        <v/>
      </c>
      <c r="B125" s="19" t="str">
        <f>IF(BASE!C125=0,"",BASE!C125)</f>
        <v/>
      </c>
      <c r="C125" s="19" t="str">
        <f>IF(BASE!D125=0,"",TRIM(BASE!D125))</f>
        <v/>
      </c>
      <c r="D125" s="21" t="str">
        <f>IFERROR(VLOOKUP(A125,AUX!A:B,2,0),"")</f>
        <v/>
      </c>
      <c r="E125" s="19" t="str">
        <f t="shared" si="13"/>
        <v/>
      </c>
      <c r="F125" s="19" t="str">
        <f t="shared" si="14"/>
        <v/>
      </c>
      <c r="G125" s="19" t="str">
        <f t="shared" si="15"/>
        <v/>
      </c>
      <c r="H125" s="19" t="str">
        <f t="shared" si="16"/>
        <v/>
      </c>
      <c r="I125" s="18" t="str">
        <f t="shared" si="18"/>
        <v/>
      </c>
      <c r="J125" s="18" t="str">
        <f t="shared" si="19"/>
        <v/>
      </c>
      <c r="K125" s="19" t="str">
        <f t="shared" si="17"/>
        <v/>
      </c>
      <c r="L125" s="19"/>
      <c r="M125" s="19"/>
      <c r="N125" s="19"/>
    </row>
    <row r="126" spans="1:14" customFormat="1">
      <c r="A126" s="20" t="str">
        <f>IF(BASE!B126=0,"",BASE!B126)</f>
        <v/>
      </c>
      <c r="B126" s="19" t="str">
        <f>IF(BASE!C126=0,"",BASE!C126)</f>
        <v/>
      </c>
      <c r="C126" s="19" t="str">
        <f>IF(BASE!D126=0,"",TRIM(BASE!D126))</f>
        <v/>
      </c>
      <c r="D126" s="21" t="str">
        <f>IFERROR(VLOOKUP(A126,AUX!A:B,2,0),"")</f>
        <v/>
      </c>
      <c r="E126" s="19" t="str">
        <f t="shared" si="13"/>
        <v/>
      </c>
      <c r="F126" s="19" t="str">
        <f t="shared" si="14"/>
        <v/>
      </c>
      <c r="G126" s="19" t="str">
        <f t="shared" si="15"/>
        <v/>
      </c>
      <c r="H126" s="19" t="str">
        <f t="shared" si="16"/>
        <v/>
      </c>
      <c r="I126" s="18" t="str">
        <f t="shared" si="18"/>
        <v/>
      </c>
      <c r="J126" s="18" t="str">
        <f t="shared" si="19"/>
        <v/>
      </c>
      <c r="K126" s="19" t="str">
        <f t="shared" si="17"/>
        <v/>
      </c>
      <c r="L126" s="19"/>
      <c r="M126" s="19"/>
      <c r="N126" s="19"/>
    </row>
    <row r="127" spans="1:14" customFormat="1">
      <c r="A127" s="20" t="str">
        <f>IF(BASE!B127=0,"",BASE!B127)</f>
        <v/>
      </c>
      <c r="B127" s="19" t="str">
        <f>IF(BASE!C127=0,"",BASE!C127)</f>
        <v/>
      </c>
      <c r="C127" s="19" t="str">
        <f>IF(BASE!D127=0,"",TRIM(BASE!D127))</f>
        <v/>
      </c>
      <c r="D127" s="21" t="str">
        <f>IFERROR(VLOOKUP(A127,AUX!A:B,2,0),"")</f>
        <v/>
      </c>
      <c r="E127" s="19" t="str">
        <f t="shared" si="13"/>
        <v/>
      </c>
      <c r="F127" s="19" t="str">
        <f t="shared" si="14"/>
        <v/>
      </c>
      <c r="G127" s="19" t="str">
        <f t="shared" si="15"/>
        <v/>
      </c>
      <c r="H127" s="19" t="str">
        <f t="shared" si="16"/>
        <v/>
      </c>
      <c r="I127" s="18" t="str">
        <f t="shared" si="18"/>
        <v/>
      </c>
      <c r="J127" s="18" t="str">
        <f t="shared" si="19"/>
        <v/>
      </c>
      <c r="K127" s="19" t="str">
        <f t="shared" si="17"/>
        <v/>
      </c>
      <c r="L127" s="19"/>
      <c r="M127" s="19"/>
      <c r="N127" s="19"/>
    </row>
    <row r="128" spans="1:14" customFormat="1">
      <c r="A128" s="20" t="str">
        <f>IF(BASE!B128=0,"",BASE!B128)</f>
        <v/>
      </c>
      <c r="B128" s="19" t="str">
        <f>IF(BASE!C128=0,"",BASE!C128)</f>
        <v/>
      </c>
      <c r="C128" s="19" t="str">
        <f>IF(BASE!D128=0,"",TRIM(BASE!D128))</f>
        <v/>
      </c>
      <c r="D128" s="21" t="str">
        <f>IFERROR(VLOOKUP(A128,AUX!A:B,2,0),"")</f>
        <v/>
      </c>
      <c r="E128" s="19" t="str">
        <f t="shared" si="13"/>
        <v/>
      </c>
      <c r="F128" s="19" t="str">
        <f t="shared" si="14"/>
        <v/>
      </c>
      <c r="G128" s="19" t="str">
        <f t="shared" si="15"/>
        <v/>
      </c>
      <c r="H128" s="19" t="str">
        <f t="shared" si="16"/>
        <v/>
      </c>
      <c r="I128" s="18" t="str">
        <f t="shared" si="18"/>
        <v/>
      </c>
      <c r="J128" s="18" t="str">
        <f t="shared" si="19"/>
        <v/>
      </c>
      <c r="K128" s="19" t="str">
        <f t="shared" si="17"/>
        <v/>
      </c>
      <c r="L128" s="19"/>
      <c r="M128" s="19"/>
      <c r="N128" s="19"/>
    </row>
    <row r="129" spans="1:14" customFormat="1">
      <c r="A129" s="20" t="str">
        <f>IF(BASE!B129=0,"",BASE!B129)</f>
        <v/>
      </c>
      <c r="B129" s="19" t="str">
        <f>IF(BASE!C129=0,"",BASE!C129)</f>
        <v/>
      </c>
      <c r="C129" s="19" t="str">
        <f>IF(BASE!D129=0,"",TRIM(BASE!D129))</f>
        <v/>
      </c>
      <c r="D129" s="21" t="str">
        <f>IFERROR(VLOOKUP(A129,AUX!A:B,2,0),"")</f>
        <v/>
      </c>
      <c r="E129" s="19" t="str">
        <f t="shared" si="13"/>
        <v/>
      </c>
      <c r="F129" s="19" t="str">
        <f t="shared" si="14"/>
        <v/>
      </c>
      <c r="G129" s="19" t="str">
        <f t="shared" si="15"/>
        <v/>
      </c>
      <c r="H129" s="19" t="str">
        <f t="shared" si="16"/>
        <v/>
      </c>
      <c r="I129" s="18" t="str">
        <f t="shared" si="18"/>
        <v/>
      </c>
      <c r="J129" s="18" t="str">
        <f t="shared" si="19"/>
        <v/>
      </c>
      <c r="K129" s="19" t="str">
        <f t="shared" si="17"/>
        <v/>
      </c>
      <c r="L129" s="19"/>
      <c r="M129" s="19"/>
      <c r="N129" s="19"/>
    </row>
    <row r="130" spans="1:14" customFormat="1">
      <c r="A130" s="20" t="str">
        <f>IF(BASE!B130=0,"",BASE!B130)</f>
        <v/>
      </c>
      <c r="B130" s="19" t="str">
        <f>IF(BASE!C130=0,"",BASE!C130)</f>
        <v/>
      </c>
      <c r="C130" s="19" t="str">
        <f>IF(BASE!D130=0,"",TRIM(BASE!D130))</f>
        <v/>
      </c>
      <c r="D130" s="21" t="str">
        <f>IFERROR(VLOOKUP(A130,AUX!A:B,2,0),"")</f>
        <v/>
      </c>
      <c r="E130" s="19" t="str">
        <f t="shared" si="13"/>
        <v/>
      </c>
      <c r="F130" s="19" t="str">
        <f t="shared" si="14"/>
        <v/>
      </c>
      <c r="G130" s="19" t="str">
        <f t="shared" si="15"/>
        <v/>
      </c>
      <c r="H130" s="19" t="str">
        <f t="shared" si="16"/>
        <v/>
      </c>
      <c r="I130" s="18" t="str">
        <f t="shared" si="18"/>
        <v/>
      </c>
      <c r="J130" s="18" t="str">
        <f t="shared" si="19"/>
        <v/>
      </c>
      <c r="K130" s="19" t="str">
        <f t="shared" si="17"/>
        <v/>
      </c>
      <c r="L130" s="19"/>
      <c r="M130" s="19"/>
      <c r="N130" s="19"/>
    </row>
    <row r="131" spans="1:14" customFormat="1">
      <c r="A131" s="20" t="str">
        <f>IF(BASE!B131=0,"",BASE!B131)</f>
        <v/>
      </c>
      <c r="B131" s="19" t="str">
        <f>IF(BASE!C131=0,"",BASE!C131)</f>
        <v/>
      </c>
      <c r="C131" s="19" t="str">
        <f>IF(BASE!D131=0,"",TRIM(BASE!D131))</f>
        <v/>
      </c>
      <c r="D131" s="21" t="str">
        <f>IFERROR(VLOOKUP(A131,AUX!A:B,2,0),"")</f>
        <v/>
      </c>
      <c r="E131" s="19" t="str">
        <f t="shared" ref="E131:E194" si="20">RIGHT(LEFT(TRIM(C131),3),2)</f>
        <v/>
      </c>
      <c r="F131" s="19" t="str">
        <f t="shared" ref="F131:F194" si="21">TRIM(RIGHT(TRIM(C131),11))</f>
        <v/>
      </c>
      <c r="G131" s="19" t="str">
        <f t="shared" ref="G131:G194" si="22">TRIM(LEFT(F131,5))</f>
        <v/>
      </c>
      <c r="H131" s="19" t="str">
        <f t="shared" ref="H131:H194" si="23">RIGHT(TRIM(F131),5)</f>
        <v/>
      </c>
      <c r="I131" s="18" t="str">
        <f t="shared" si="18"/>
        <v/>
      </c>
      <c r="J131" s="18" t="str">
        <f t="shared" si="19"/>
        <v/>
      </c>
      <c r="K131" s="19" t="str">
        <f t="shared" ref="K131:K194" si="24">IF(A131="","","Prezado (a), "&amp;J131&amp;"
Devido a um imprevisto no voo do médico, o horário do seu procedimento precisou ser alterado para "&amp;TEXT(D131,"HH:MM")&amp;".
Pedimos, por gentileza, que chegue com 15 minutos de antecedência.
Pedimos desculpas pelo transtorno, agradecemos a compreensão e permanecemos à disposição para qualquer dúvida.
Atenciosamente,
Centro de Oftalmologia Brasil")</f>
        <v/>
      </c>
      <c r="L131" s="19"/>
      <c r="M131" s="19"/>
      <c r="N131" s="19"/>
    </row>
    <row r="132" spans="1:14" customFormat="1">
      <c r="A132" s="20" t="str">
        <f>IF(BASE!B132=0,"",BASE!B132)</f>
        <v/>
      </c>
      <c r="B132" s="19" t="str">
        <f>IF(BASE!C132=0,"",BASE!C132)</f>
        <v/>
      </c>
      <c r="C132" s="19" t="str">
        <f>IF(BASE!D132=0,"",TRIM(BASE!D132))</f>
        <v/>
      </c>
      <c r="D132" s="21" t="str">
        <f>IFERROR(VLOOKUP(A132,AUX!A:B,2,0),"")</f>
        <v/>
      </c>
      <c r="E132" s="19" t="str">
        <f t="shared" si="20"/>
        <v/>
      </c>
      <c r="F132" s="19" t="str">
        <f t="shared" si="21"/>
        <v/>
      </c>
      <c r="G132" s="19" t="str">
        <f t="shared" si="22"/>
        <v/>
      </c>
      <c r="H132" s="19" t="str">
        <f t="shared" si="23"/>
        <v/>
      </c>
      <c r="I132" s="18" t="str">
        <f t="shared" si="18"/>
        <v/>
      </c>
      <c r="J132" s="18" t="str">
        <f t="shared" si="19"/>
        <v/>
      </c>
      <c r="K132" s="19" t="str">
        <f t="shared" si="24"/>
        <v/>
      </c>
      <c r="L132" s="19"/>
      <c r="M132" s="19"/>
      <c r="N132" s="19"/>
    </row>
    <row r="133" spans="1:14" customFormat="1">
      <c r="A133" s="20" t="str">
        <f>IF(BASE!B133=0,"",BASE!B133)</f>
        <v/>
      </c>
      <c r="B133" s="19" t="str">
        <f>IF(BASE!C133=0,"",BASE!C133)</f>
        <v/>
      </c>
      <c r="C133" s="19" t="str">
        <f>IF(BASE!D133=0,"",TRIM(BASE!D133))</f>
        <v/>
      </c>
      <c r="D133" s="21" t="str">
        <f>IFERROR(VLOOKUP(A133,AUX!A:B,2,0),"")</f>
        <v/>
      </c>
      <c r="E133" s="19" t="str">
        <f t="shared" si="20"/>
        <v/>
      </c>
      <c r="F133" s="19" t="str">
        <f t="shared" si="21"/>
        <v/>
      </c>
      <c r="G133" s="19" t="str">
        <f t="shared" si="22"/>
        <v/>
      </c>
      <c r="H133" s="19" t="str">
        <f t="shared" si="23"/>
        <v/>
      </c>
      <c r="I133" s="18" t="str">
        <f t="shared" si="18"/>
        <v/>
      </c>
      <c r="J133" s="18" t="str">
        <f t="shared" si="19"/>
        <v/>
      </c>
      <c r="K133" s="19" t="str">
        <f t="shared" si="24"/>
        <v/>
      </c>
      <c r="L133" s="19"/>
      <c r="M133" s="19"/>
      <c r="N133" s="19"/>
    </row>
    <row r="134" spans="1:14" customFormat="1">
      <c r="A134" s="20" t="str">
        <f>IF(BASE!B134=0,"",BASE!B134)</f>
        <v/>
      </c>
      <c r="B134" s="19" t="str">
        <f>IF(BASE!C134=0,"",BASE!C134)</f>
        <v/>
      </c>
      <c r="C134" s="19" t="str">
        <f>IF(BASE!D134=0,"",TRIM(BASE!D134))</f>
        <v/>
      </c>
      <c r="D134" s="21" t="str">
        <f>IFERROR(VLOOKUP(A134,AUX!A:B,2,0),"")</f>
        <v/>
      </c>
      <c r="E134" s="19" t="str">
        <f t="shared" si="20"/>
        <v/>
      </c>
      <c r="F134" s="19" t="str">
        <f t="shared" si="21"/>
        <v/>
      </c>
      <c r="G134" s="19" t="str">
        <f t="shared" si="22"/>
        <v/>
      </c>
      <c r="H134" s="19" t="str">
        <f t="shared" si="23"/>
        <v/>
      </c>
      <c r="I134" s="18" t="str">
        <f t="shared" si="18"/>
        <v/>
      </c>
      <c r="J134" s="18" t="str">
        <f t="shared" si="19"/>
        <v/>
      </c>
      <c r="K134" s="19" t="str">
        <f t="shared" si="24"/>
        <v/>
      </c>
      <c r="L134" s="19"/>
      <c r="M134" s="19"/>
      <c r="N134" s="19"/>
    </row>
    <row r="135" spans="1:14" customFormat="1">
      <c r="A135" s="20" t="str">
        <f>IF(BASE!B135=0,"",BASE!B135)</f>
        <v/>
      </c>
      <c r="B135" s="19" t="str">
        <f>IF(BASE!C135=0,"",BASE!C135)</f>
        <v/>
      </c>
      <c r="C135" s="19" t="str">
        <f>IF(BASE!D135=0,"",TRIM(BASE!D135))</f>
        <v/>
      </c>
      <c r="D135" s="21" t="str">
        <f>IFERROR(VLOOKUP(A135,AUX!A:B,2,0),"")</f>
        <v/>
      </c>
      <c r="E135" s="19" t="str">
        <f t="shared" si="20"/>
        <v/>
      </c>
      <c r="F135" s="19" t="str">
        <f t="shared" si="21"/>
        <v/>
      </c>
      <c r="G135" s="19" t="str">
        <f t="shared" si="22"/>
        <v/>
      </c>
      <c r="H135" s="19" t="str">
        <f t="shared" si="23"/>
        <v/>
      </c>
      <c r="I135" s="18" t="str">
        <f t="shared" si="18"/>
        <v/>
      </c>
      <c r="J135" s="18" t="str">
        <f t="shared" si="19"/>
        <v/>
      </c>
      <c r="K135" s="19" t="str">
        <f t="shared" si="24"/>
        <v/>
      </c>
      <c r="L135" s="19"/>
      <c r="M135" s="19"/>
      <c r="N135" s="19"/>
    </row>
    <row r="136" spans="1:14" customFormat="1">
      <c r="A136" s="20" t="str">
        <f>IF(BASE!B136=0,"",BASE!B136)</f>
        <v/>
      </c>
      <c r="B136" s="19" t="str">
        <f>IF(BASE!C136=0,"",BASE!C136)</f>
        <v/>
      </c>
      <c r="C136" s="19" t="str">
        <f>IF(BASE!D136=0,"",TRIM(BASE!D136))</f>
        <v/>
      </c>
      <c r="D136" s="21" t="str">
        <f>IFERROR(VLOOKUP(A136,AUX!A:B,2,0),"")</f>
        <v/>
      </c>
      <c r="E136" s="19" t="str">
        <f t="shared" si="20"/>
        <v/>
      </c>
      <c r="F136" s="19" t="str">
        <f t="shared" si="21"/>
        <v/>
      </c>
      <c r="G136" s="19" t="str">
        <f t="shared" si="22"/>
        <v/>
      </c>
      <c r="H136" s="19" t="str">
        <f t="shared" si="23"/>
        <v/>
      </c>
      <c r="I136" s="18" t="str">
        <f t="shared" si="18"/>
        <v/>
      </c>
      <c r="J136" s="18" t="str">
        <f t="shared" si="19"/>
        <v/>
      </c>
      <c r="K136" s="19" t="str">
        <f t="shared" si="24"/>
        <v/>
      </c>
      <c r="L136" s="19"/>
      <c r="M136" s="19"/>
      <c r="N136" s="19"/>
    </row>
    <row r="137" spans="1:14" customFormat="1">
      <c r="A137" s="20" t="str">
        <f>IF(BASE!B137=0,"",BASE!B137)</f>
        <v/>
      </c>
      <c r="B137" s="19" t="str">
        <f>IF(BASE!C137=0,"",BASE!C137)</f>
        <v/>
      </c>
      <c r="C137" s="19" t="str">
        <f>IF(BASE!D137=0,"",TRIM(BASE!D137))</f>
        <v/>
      </c>
      <c r="D137" s="21" t="str">
        <f>IFERROR(VLOOKUP(A137,AUX!A:B,2,0),"")</f>
        <v/>
      </c>
      <c r="E137" s="19" t="str">
        <f t="shared" si="20"/>
        <v/>
      </c>
      <c r="F137" s="19" t="str">
        <f t="shared" si="21"/>
        <v/>
      </c>
      <c r="G137" s="19" t="str">
        <f t="shared" si="22"/>
        <v/>
      </c>
      <c r="H137" s="19" t="str">
        <f t="shared" si="23"/>
        <v/>
      </c>
      <c r="I137" s="18" t="str">
        <f t="shared" si="18"/>
        <v/>
      </c>
      <c r="J137" s="18" t="str">
        <f t="shared" si="19"/>
        <v/>
      </c>
      <c r="K137" s="19" t="str">
        <f t="shared" si="24"/>
        <v/>
      </c>
      <c r="L137" s="19"/>
      <c r="M137" s="19"/>
      <c r="N137" s="19"/>
    </row>
    <row r="138" spans="1:14" customFormat="1">
      <c r="A138" s="20" t="str">
        <f>IF(BASE!B138=0,"",BASE!B138)</f>
        <v/>
      </c>
      <c r="B138" s="19" t="str">
        <f>IF(BASE!C138=0,"",BASE!C138)</f>
        <v/>
      </c>
      <c r="C138" s="19" t="str">
        <f>IF(BASE!D138=0,"",TRIM(BASE!D138))</f>
        <v/>
      </c>
      <c r="D138" s="21" t="str">
        <f>IFERROR(VLOOKUP(A138,AUX!A:B,2,0),"")</f>
        <v/>
      </c>
      <c r="E138" s="19" t="str">
        <f t="shared" si="20"/>
        <v/>
      </c>
      <c r="F138" s="19" t="str">
        <f t="shared" si="21"/>
        <v/>
      </c>
      <c r="G138" s="19" t="str">
        <f t="shared" si="22"/>
        <v/>
      </c>
      <c r="H138" s="19" t="str">
        <f t="shared" si="23"/>
        <v/>
      </c>
      <c r="I138" s="18" t="str">
        <f t="shared" si="18"/>
        <v/>
      </c>
      <c r="J138" s="18" t="str">
        <f t="shared" si="19"/>
        <v/>
      </c>
      <c r="K138" s="19" t="str">
        <f t="shared" si="24"/>
        <v/>
      </c>
      <c r="L138" s="19"/>
      <c r="M138" s="19"/>
      <c r="N138" s="19"/>
    </row>
    <row r="139" spans="1:14" customFormat="1">
      <c r="A139" s="20" t="str">
        <f>IF(BASE!B139=0,"",BASE!B139)</f>
        <v/>
      </c>
      <c r="B139" s="19" t="str">
        <f>IF(BASE!C139=0,"",BASE!C139)</f>
        <v/>
      </c>
      <c r="C139" s="19" t="str">
        <f>IF(BASE!D139=0,"",TRIM(BASE!D139))</f>
        <v/>
      </c>
      <c r="D139" s="21" t="str">
        <f>IFERROR(VLOOKUP(A139,AUX!A:B,2,0),"")</f>
        <v/>
      </c>
      <c r="E139" s="19" t="str">
        <f t="shared" si="20"/>
        <v/>
      </c>
      <c r="F139" s="19" t="str">
        <f t="shared" si="21"/>
        <v/>
      </c>
      <c r="G139" s="19" t="str">
        <f t="shared" si="22"/>
        <v/>
      </c>
      <c r="H139" s="19" t="str">
        <f t="shared" si="23"/>
        <v/>
      </c>
      <c r="I139" s="18" t="str">
        <f t="shared" si="18"/>
        <v/>
      </c>
      <c r="J139" s="18" t="str">
        <f t="shared" si="19"/>
        <v/>
      </c>
      <c r="K139" s="19" t="str">
        <f t="shared" si="24"/>
        <v/>
      </c>
      <c r="L139" s="19"/>
      <c r="M139" s="19"/>
      <c r="N139" s="19"/>
    </row>
    <row r="140" spans="1:14" customFormat="1">
      <c r="A140" s="20" t="str">
        <f>IF(BASE!B140=0,"",BASE!B140)</f>
        <v/>
      </c>
      <c r="B140" s="19" t="str">
        <f>IF(BASE!C140=0,"",BASE!C140)</f>
        <v/>
      </c>
      <c r="C140" s="19" t="str">
        <f>IF(BASE!D140=0,"",TRIM(BASE!D140))</f>
        <v/>
      </c>
      <c r="D140" s="21" t="str">
        <f>IFERROR(VLOOKUP(A140,AUX!A:B,2,0),"")</f>
        <v/>
      </c>
      <c r="E140" s="19" t="str">
        <f t="shared" si="20"/>
        <v/>
      </c>
      <c r="F140" s="19" t="str">
        <f t="shared" si="21"/>
        <v/>
      </c>
      <c r="G140" s="19" t="str">
        <f t="shared" si="22"/>
        <v/>
      </c>
      <c r="H140" s="19" t="str">
        <f t="shared" si="23"/>
        <v/>
      </c>
      <c r="I140" s="18" t="str">
        <f t="shared" si="18"/>
        <v/>
      </c>
      <c r="J140" s="18" t="str">
        <f t="shared" si="19"/>
        <v/>
      </c>
      <c r="K140" s="19" t="str">
        <f t="shared" si="24"/>
        <v/>
      </c>
      <c r="L140" s="19"/>
      <c r="M140" s="19"/>
      <c r="N140" s="19"/>
    </row>
    <row r="141" spans="1:14" customFormat="1">
      <c r="A141" s="20" t="str">
        <f>IF(BASE!B141=0,"",BASE!B141)</f>
        <v/>
      </c>
      <c r="B141" s="19" t="str">
        <f>IF(BASE!C141=0,"",BASE!C141)</f>
        <v/>
      </c>
      <c r="C141" s="19" t="str">
        <f>IF(BASE!D141=0,"",TRIM(BASE!D141))</f>
        <v/>
      </c>
      <c r="D141" s="21" t="str">
        <f>IFERROR(VLOOKUP(A141,AUX!A:B,2,0),"")</f>
        <v/>
      </c>
      <c r="E141" s="19" t="str">
        <f t="shared" si="20"/>
        <v/>
      </c>
      <c r="F141" s="19" t="str">
        <f t="shared" si="21"/>
        <v/>
      </c>
      <c r="G141" s="19" t="str">
        <f t="shared" si="22"/>
        <v/>
      </c>
      <c r="H141" s="19" t="str">
        <f t="shared" si="23"/>
        <v/>
      </c>
      <c r="I141" s="18" t="str">
        <f t="shared" si="18"/>
        <v/>
      </c>
      <c r="J141" s="18" t="str">
        <f t="shared" si="19"/>
        <v/>
      </c>
      <c r="K141" s="19" t="str">
        <f t="shared" si="24"/>
        <v/>
      </c>
      <c r="L141" s="19"/>
      <c r="M141" s="19"/>
      <c r="N141" s="19"/>
    </row>
    <row r="142" spans="1:14" customFormat="1">
      <c r="A142" s="20" t="str">
        <f>IF(BASE!B142=0,"",BASE!B142)</f>
        <v/>
      </c>
      <c r="B142" s="19" t="str">
        <f>IF(BASE!C142=0,"",BASE!C142)</f>
        <v/>
      </c>
      <c r="C142" s="19" t="str">
        <f>IF(BASE!D142=0,"",TRIM(BASE!D142))</f>
        <v/>
      </c>
      <c r="D142" s="21" t="str">
        <f>IFERROR(VLOOKUP(A142,AUX!A:B,2,0),"")</f>
        <v/>
      </c>
      <c r="E142" s="19" t="str">
        <f t="shared" si="20"/>
        <v/>
      </c>
      <c r="F142" s="19" t="str">
        <f t="shared" si="21"/>
        <v/>
      </c>
      <c r="G142" s="19" t="str">
        <f t="shared" si="22"/>
        <v/>
      </c>
      <c r="H142" s="19" t="str">
        <f t="shared" si="23"/>
        <v/>
      </c>
      <c r="I142" s="18" t="str">
        <f t="shared" si="18"/>
        <v/>
      </c>
      <c r="J142" s="18" t="str">
        <f t="shared" si="19"/>
        <v/>
      </c>
      <c r="K142" s="19" t="str">
        <f t="shared" si="24"/>
        <v/>
      </c>
      <c r="L142" s="19"/>
      <c r="M142" s="19"/>
      <c r="N142" s="19"/>
    </row>
    <row r="143" spans="1:14" customFormat="1">
      <c r="A143" s="20" t="str">
        <f>IF(BASE!B143=0,"",BASE!B143)</f>
        <v/>
      </c>
      <c r="B143" s="19" t="str">
        <f>IF(BASE!C143=0,"",BASE!C143)</f>
        <v/>
      </c>
      <c r="C143" s="19" t="str">
        <f>IF(BASE!D143=0,"",TRIM(BASE!D143))</f>
        <v/>
      </c>
      <c r="D143" s="21" t="str">
        <f>IFERROR(VLOOKUP(A143,AUX!A:B,2,0),"")</f>
        <v/>
      </c>
      <c r="E143" s="19" t="str">
        <f t="shared" si="20"/>
        <v/>
      </c>
      <c r="F143" s="19" t="str">
        <f t="shared" si="21"/>
        <v/>
      </c>
      <c r="G143" s="19" t="str">
        <f t="shared" si="22"/>
        <v/>
      </c>
      <c r="H143" s="19" t="str">
        <f t="shared" si="23"/>
        <v/>
      </c>
      <c r="I143" s="18" t="str">
        <f t="shared" si="18"/>
        <v/>
      </c>
      <c r="J143" s="18" t="str">
        <f t="shared" si="19"/>
        <v/>
      </c>
      <c r="K143" s="19" t="str">
        <f t="shared" si="24"/>
        <v/>
      </c>
      <c r="L143" s="19"/>
      <c r="M143" s="19"/>
      <c r="N143" s="19"/>
    </row>
    <row r="144" spans="1:14" customFormat="1">
      <c r="A144" s="20" t="str">
        <f>IF(BASE!B144=0,"",BASE!B144)</f>
        <v/>
      </c>
      <c r="B144" s="19" t="str">
        <f>IF(BASE!C144=0,"",BASE!C144)</f>
        <v/>
      </c>
      <c r="C144" s="19" t="str">
        <f>IF(BASE!D144=0,"",TRIM(BASE!D144))</f>
        <v/>
      </c>
      <c r="D144" s="21" t="str">
        <f>IFERROR(VLOOKUP(A144,AUX!A:B,2,0),"")</f>
        <v/>
      </c>
      <c r="E144" s="19" t="str">
        <f t="shared" si="20"/>
        <v/>
      </c>
      <c r="F144" s="19" t="str">
        <f t="shared" si="21"/>
        <v/>
      </c>
      <c r="G144" s="19" t="str">
        <f t="shared" si="22"/>
        <v/>
      </c>
      <c r="H144" s="19" t="str">
        <f t="shared" si="23"/>
        <v/>
      </c>
      <c r="I144" s="18" t="str">
        <f t="shared" si="18"/>
        <v/>
      </c>
      <c r="J144" s="18" t="str">
        <f t="shared" si="19"/>
        <v/>
      </c>
      <c r="K144" s="19" t="str">
        <f t="shared" si="24"/>
        <v/>
      </c>
      <c r="L144" s="19"/>
      <c r="M144" s="19"/>
      <c r="N144" s="19"/>
    </row>
    <row r="145" spans="1:14" customFormat="1">
      <c r="A145" s="20" t="str">
        <f>IF(BASE!B145=0,"",BASE!B145)</f>
        <v/>
      </c>
      <c r="B145" s="19" t="str">
        <f>IF(BASE!C145=0,"",BASE!C145)</f>
        <v/>
      </c>
      <c r="C145" s="19" t="str">
        <f>IF(BASE!D145=0,"",TRIM(BASE!D145))</f>
        <v/>
      </c>
      <c r="D145" s="21" t="str">
        <f>IFERROR(VLOOKUP(A145,AUX!A:B,2,0),"")</f>
        <v/>
      </c>
      <c r="E145" s="19" t="str">
        <f t="shared" si="20"/>
        <v/>
      </c>
      <c r="F145" s="19" t="str">
        <f t="shared" si="21"/>
        <v/>
      </c>
      <c r="G145" s="19" t="str">
        <f t="shared" si="22"/>
        <v/>
      </c>
      <c r="H145" s="19" t="str">
        <f t="shared" si="23"/>
        <v/>
      </c>
      <c r="I145" s="18" t="str">
        <f t="shared" si="18"/>
        <v/>
      </c>
      <c r="J145" s="18" t="str">
        <f t="shared" si="19"/>
        <v/>
      </c>
      <c r="K145" s="19" t="str">
        <f t="shared" si="24"/>
        <v/>
      </c>
      <c r="L145" s="19"/>
      <c r="M145" s="19"/>
      <c r="N145" s="19"/>
    </row>
    <row r="146" spans="1:14" customFormat="1">
      <c r="A146" s="20" t="str">
        <f>IF(BASE!B146=0,"",BASE!B146)</f>
        <v/>
      </c>
      <c r="B146" s="19" t="str">
        <f>IF(BASE!C146=0,"",BASE!C146)</f>
        <v/>
      </c>
      <c r="C146" s="19" t="str">
        <f>IF(BASE!D146=0,"",TRIM(BASE!D146))</f>
        <v/>
      </c>
      <c r="D146" s="21" t="str">
        <f>IFERROR(VLOOKUP(A146,AUX!A:B,2,0),"")</f>
        <v/>
      </c>
      <c r="E146" s="19" t="str">
        <f t="shared" si="20"/>
        <v/>
      </c>
      <c r="F146" s="19" t="str">
        <f t="shared" si="21"/>
        <v/>
      </c>
      <c r="G146" s="19" t="str">
        <f t="shared" si="22"/>
        <v/>
      </c>
      <c r="H146" s="19" t="str">
        <f t="shared" si="23"/>
        <v/>
      </c>
      <c r="I146" s="18" t="str">
        <f t="shared" si="18"/>
        <v/>
      </c>
      <c r="J146" s="18" t="str">
        <f t="shared" si="19"/>
        <v/>
      </c>
      <c r="K146" s="19" t="str">
        <f t="shared" si="24"/>
        <v/>
      </c>
      <c r="L146" s="19"/>
      <c r="M146" s="19"/>
      <c r="N146" s="19"/>
    </row>
    <row r="147" spans="1:14" customFormat="1">
      <c r="A147" s="20" t="str">
        <f>IF(BASE!B147=0,"",BASE!B147)</f>
        <v/>
      </c>
      <c r="B147" s="19" t="str">
        <f>IF(BASE!C147=0,"",BASE!C147)</f>
        <v/>
      </c>
      <c r="C147" s="19" t="str">
        <f>IF(BASE!D147=0,"",TRIM(BASE!D147))</f>
        <v/>
      </c>
      <c r="D147" s="21" t="str">
        <f>IFERROR(VLOOKUP(A147,AUX!A:B,2,0),"")</f>
        <v/>
      </c>
      <c r="E147" s="19" t="str">
        <f t="shared" si="20"/>
        <v/>
      </c>
      <c r="F147" s="19" t="str">
        <f t="shared" si="21"/>
        <v/>
      </c>
      <c r="G147" s="19" t="str">
        <f t="shared" si="22"/>
        <v/>
      </c>
      <c r="H147" s="19" t="str">
        <f t="shared" si="23"/>
        <v/>
      </c>
      <c r="I147" s="18" t="str">
        <f t="shared" si="18"/>
        <v/>
      </c>
      <c r="J147" s="18" t="str">
        <f t="shared" si="19"/>
        <v/>
      </c>
      <c r="K147" s="19" t="str">
        <f t="shared" si="24"/>
        <v/>
      </c>
      <c r="L147" s="19"/>
      <c r="M147" s="19"/>
      <c r="N147" s="19"/>
    </row>
    <row r="148" spans="1:14" customFormat="1">
      <c r="A148" s="20" t="str">
        <f>IF(BASE!B148=0,"",BASE!B148)</f>
        <v/>
      </c>
      <c r="B148" s="19" t="str">
        <f>IF(BASE!C148=0,"",BASE!C148)</f>
        <v/>
      </c>
      <c r="C148" s="19" t="str">
        <f>IF(BASE!D148=0,"",TRIM(BASE!D148))</f>
        <v/>
      </c>
      <c r="D148" s="21" t="str">
        <f>IFERROR(VLOOKUP(A148,AUX!A:B,2,0),"")</f>
        <v/>
      </c>
      <c r="E148" s="19" t="str">
        <f t="shared" si="20"/>
        <v/>
      </c>
      <c r="F148" s="19" t="str">
        <f t="shared" si="21"/>
        <v/>
      </c>
      <c r="G148" s="19" t="str">
        <f t="shared" si="22"/>
        <v/>
      </c>
      <c r="H148" s="19" t="str">
        <f t="shared" si="23"/>
        <v/>
      </c>
      <c r="I148" s="18" t="str">
        <f t="shared" si="18"/>
        <v/>
      </c>
      <c r="J148" s="18" t="str">
        <f t="shared" si="19"/>
        <v/>
      </c>
      <c r="K148" s="19" t="str">
        <f t="shared" si="24"/>
        <v/>
      </c>
      <c r="L148" s="19"/>
      <c r="M148" s="19"/>
      <c r="N148" s="19"/>
    </row>
    <row r="149" spans="1:14" customFormat="1">
      <c r="A149" s="20" t="str">
        <f>IF(BASE!B149=0,"",BASE!B149)</f>
        <v/>
      </c>
      <c r="B149" s="19" t="str">
        <f>IF(BASE!C149=0,"",BASE!C149)</f>
        <v/>
      </c>
      <c r="C149" s="19" t="str">
        <f>IF(BASE!D149=0,"",TRIM(BASE!D149))</f>
        <v/>
      </c>
      <c r="D149" s="21" t="str">
        <f>IFERROR(VLOOKUP(A149,AUX!A:B,2,0),"")</f>
        <v/>
      </c>
      <c r="E149" s="19" t="str">
        <f t="shared" si="20"/>
        <v/>
      </c>
      <c r="F149" s="19" t="str">
        <f t="shared" si="21"/>
        <v/>
      </c>
      <c r="G149" s="19" t="str">
        <f t="shared" si="22"/>
        <v/>
      </c>
      <c r="H149" s="19" t="str">
        <f t="shared" si="23"/>
        <v/>
      </c>
      <c r="I149" s="18" t="str">
        <f t="shared" si="18"/>
        <v/>
      </c>
      <c r="J149" s="18" t="str">
        <f t="shared" si="19"/>
        <v/>
      </c>
      <c r="K149" s="19" t="str">
        <f t="shared" si="24"/>
        <v/>
      </c>
      <c r="L149" s="19"/>
      <c r="M149" s="19"/>
      <c r="N149" s="19"/>
    </row>
    <row r="150" spans="1:14" customFormat="1">
      <c r="A150" s="20" t="str">
        <f>IF(BASE!B150=0,"",BASE!B150)</f>
        <v/>
      </c>
      <c r="B150" s="19" t="str">
        <f>IF(BASE!C150=0,"",BASE!C150)</f>
        <v/>
      </c>
      <c r="C150" s="19" t="str">
        <f>IF(BASE!D150=0,"",TRIM(BASE!D150))</f>
        <v/>
      </c>
      <c r="D150" s="21" t="str">
        <f>IFERROR(VLOOKUP(A150,AUX!A:B,2,0),"")</f>
        <v/>
      </c>
      <c r="E150" s="19" t="str">
        <f t="shared" si="20"/>
        <v/>
      </c>
      <c r="F150" s="19" t="str">
        <f t="shared" si="21"/>
        <v/>
      </c>
      <c r="G150" s="19" t="str">
        <f t="shared" si="22"/>
        <v/>
      </c>
      <c r="H150" s="19" t="str">
        <f t="shared" si="23"/>
        <v/>
      </c>
      <c r="I150" s="18" t="str">
        <f t="shared" si="18"/>
        <v/>
      </c>
      <c r="J150" s="18" t="str">
        <f t="shared" si="19"/>
        <v/>
      </c>
      <c r="K150" s="19" t="str">
        <f t="shared" si="24"/>
        <v/>
      </c>
      <c r="L150" s="19"/>
      <c r="M150" s="19"/>
      <c r="N150" s="19"/>
    </row>
    <row r="151" spans="1:14" customFormat="1">
      <c r="A151" s="20" t="str">
        <f>IF(BASE!B151=0,"",BASE!B151)</f>
        <v/>
      </c>
      <c r="B151" s="19" t="str">
        <f>IF(BASE!C151=0,"",BASE!C151)</f>
        <v/>
      </c>
      <c r="C151" s="19" t="str">
        <f>IF(BASE!D151=0,"",TRIM(BASE!D151))</f>
        <v/>
      </c>
      <c r="D151" s="21" t="str">
        <f>IFERROR(VLOOKUP(A151,AUX!A:B,2,0),"")</f>
        <v/>
      </c>
      <c r="E151" s="19" t="str">
        <f t="shared" si="20"/>
        <v/>
      </c>
      <c r="F151" s="19" t="str">
        <f t="shared" si="21"/>
        <v/>
      </c>
      <c r="G151" s="19" t="str">
        <f t="shared" si="22"/>
        <v/>
      </c>
      <c r="H151" s="19" t="str">
        <f t="shared" si="23"/>
        <v/>
      </c>
      <c r="I151" s="18" t="str">
        <f t="shared" si="18"/>
        <v/>
      </c>
      <c r="J151" s="18" t="str">
        <f t="shared" si="19"/>
        <v/>
      </c>
      <c r="K151" s="19" t="str">
        <f t="shared" si="24"/>
        <v/>
      </c>
      <c r="L151" s="19"/>
      <c r="M151" s="19"/>
      <c r="N151" s="19"/>
    </row>
    <row r="152" spans="1:14" customFormat="1">
      <c r="A152" s="20" t="str">
        <f>IF(BASE!B152=0,"",BASE!B152)</f>
        <v/>
      </c>
      <c r="B152" s="19" t="str">
        <f>IF(BASE!C152=0,"",BASE!C152)</f>
        <v/>
      </c>
      <c r="C152" s="19" t="str">
        <f>IF(BASE!D152=0,"",TRIM(BASE!D152))</f>
        <v/>
      </c>
      <c r="D152" s="21" t="str">
        <f>IFERROR(VLOOKUP(A152,AUX!A:B,2,0),"")</f>
        <v/>
      </c>
      <c r="E152" s="19" t="str">
        <f t="shared" si="20"/>
        <v/>
      </c>
      <c r="F152" s="19" t="str">
        <f t="shared" si="21"/>
        <v/>
      </c>
      <c r="G152" s="19" t="str">
        <f t="shared" si="22"/>
        <v/>
      </c>
      <c r="H152" s="19" t="str">
        <f t="shared" si="23"/>
        <v/>
      </c>
      <c r="I152" s="18" t="str">
        <f t="shared" si="18"/>
        <v/>
      </c>
      <c r="J152" s="18" t="str">
        <f t="shared" si="19"/>
        <v/>
      </c>
      <c r="K152" s="19" t="str">
        <f t="shared" si="24"/>
        <v/>
      </c>
      <c r="L152" s="19"/>
      <c r="M152" s="19"/>
      <c r="N152" s="19"/>
    </row>
    <row r="153" spans="1:14" customFormat="1">
      <c r="A153" s="20" t="str">
        <f>IF(BASE!B153=0,"",BASE!B153)</f>
        <v/>
      </c>
      <c r="B153" s="19" t="str">
        <f>IF(BASE!C153=0,"",BASE!C153)</f>
        <v/>
      </c>
      <c r="C153" s="19" t="str">
        <f>IF(BASE!D153=0,"",TRIM(BASE!D153))</f>
        <v/>
      </c>
      <c r="D153" s="21" t="str">
        <f>IFERROR(VLOOKUP(A153,AUX!A:B,2,0),"")</f>
        <v/>
      </c>
      <c r="E153" s="19" t="str">
        <f t="shared" si="20"/>
        <v/>
      </c>
      <c r="F153" s="19" t="str">
        <f t="shared" si="21"/>
        <v/>
      </c>
      <c r="G153" s="19" t="str">
        <f t="shared" si="22"/>
        <v/>
      </c>
      <c r="H153" s="19" t="str">
        <f t="shared" si="23"/>
        <v/>
      </c>
      <c r="I153" s="18" t="str">
        <f t="shared" si="18"/>
        <v/>
      </c>
      <c r="J153" s="18" t="str">
        <f t="shared" si="19"/>
        <v/>
      </c>
      <c r="K153" s="19" t="str">
        <f t="shared" si="24"/>
        <v/>
      </c>
      <c r="L153" s="19"/>
      <c r="M153" s="19"/>
      <c r="N153" s="19"/>
    </row>
    <row r="154" spans="1:14" customFormat="1">
      <c r="A154" s="20" t="str">
        <f>IF(BASE!B154=0,"",BASE!B154)</f>
        <v/>
      </c>
      <c r="B154" s="19" t="str">
        <f>IF(BASE!C154=0,"",BASE!C154)</f>
        <v/>
      </c>
      <c r="C154" s="19" t="str">
        <f>IF(BASE!D154=0,"",TRIM(BASE!D154))</f>
        <v/>
      </c>
      <c r="D154" s="21" t="str">
        <f>IFERROR(VLOOKUP(A154,AUX!A:B,2,0),"")</f>
        <v/>
      </c>
      <c r="E154" s="19" t="str">
        <f t="shared" si="20"/>
        <v/>
      </c>
      <c r="F154" s="19" t="str">
        <f t="shared" si="21"/>
        <v/>
      </c>
      <c r="G154" s="19" t="str">
        <f t="shared" si="22"/>
        <v/>
      </c>
      <c r="H154" s="19" t="str">
        <f t="shared" si="23"/>
        <v/>
      </c>
      <c r="I154" s="18" t="str">
        <f t="shared" si="18"/>
        <v/>
      </c>
      <c r="J154" s="18" t="str">
        <f t="shared" si="19"/>
        <v/>
      </c>
      <c r="K154" s="19" t="str">
        <f t="shared" si="24"/>
        <v/>
      </c>
      <c r="L154" s="19"/>
      <c r="M154" s="19"/>
      <c r="N154" s="19"/>
    </row>
    <row r="155" spans="1:14" customFormat="1">
      <c r="A155" s="20" t="str">
        <f>IF(BASE!B155=0,"",BASE!B155)</f>
        <v/>
      </c>
      <c r="B155" s="19" t="str">
        <f>IF(BASE!C155=0,"",BASE!C155)</f>
        <v/>
      </c>
      <c r="C155" s="19" t="str">
        <f>IF(BASE!D155=0,"",TRIM(BASE!D155))</f>
        <v/>
      </c>
      <c r="D155" s="21" t="str">
        <f>IFERROR(VLOOKUP(A155,AUX!A:B,2,0),"")</f>
        <v/>
      </c>
      <c r="E155" s="19" t="str">
        <f t="shared" si="20"/>
        <v/>
      </c>
      <c r="F155" s="19" t="str">
        <f t="shared" si="21"/>
        <v/>
      </c>
      <c r="G155" s="19" t="str">
        <f t="shared" si="22"/>
        <v/>
      </c>
      <c r="H155" s="19" t="str">
        <f t="shared" si="23"/>
        <v/>
      </c>
      <c r="I155" s="18" t="str">
        <f t="shared" si="18"/>
        <v/>
      </c>
      <c r="J155" s="18" t="str">
        <f t="shared" si="19"/>
        <v/>
      </c>
      <c r="K155" s="19" t="str">
        <f t="shared" si="24"/>
        <v/>
      </c>
      <c r="L155" s="19"/>
      <c r="M155" s="19"/>
      <c r="N155" s="19"/>
    </row>
    <row r="156" spans="1:14" customFormat="1">
      <c r="A156" s="20" t="str">
        <f>IF(BASE!B156=0,"",BASE!B156)</f>
        <v/>
      </c>
      <c r="B156" s="19" t="str">
        <f>IF(BASE!C156=0,"",BASE!C156)</f>
        <v/>
      </c>
      <c r="C156" s="19" t="str">
        <f>IF(BASE!D156=0,"",TRIM(BASE!D156))</f>
        <v/>
      </c>
      <c r="D156" s="21" t="str">
        <f>IFERROR(VLOOKUP(A156,AUX!A:B,2,0),"")</f>
        <v/>
      </c>
      <c r="E156" s="19" t="str">
        <f t="shared" si="20"/>
        <v/>
      </c>
      <c r="F156" s="19" t="str">
        <f t="shared" si="21"/>
        <v/>
      </c>
      <c r="G156" s="19" t="str">
        <f t="shared" si="22"/>
        <v/>
      </c>
      <c r="H156" s="19" t="str">
        <f t="shared" si="23"/>
        <v/>
      </c>
      <c r="I156" s="18" t="str">
        <f t="shared" si="18"/>
        <v/>
      </c>
      <c r="J156" s="18" t="str">
        <f t="shared" si="19"/>
        <v/>
      </c>
      <c r="K156" s="19" t="str">
        <f t="shared" si="24"/>
        <v/>
      </c>
      <c r="L156" s="19"/>
      <c r="M156" s="19"/>
      <c r="N156" s="19"/>
    </row>
    <row r="157" spans="1:14" customFormat="1">
      <c r="A157" s="20" t="str">
        <f>IF(BASE!B157=0,"",BASE!B157)</f>
        <v/>
      </c>
      <c r="B157" s="19" t="str">
        <f>IF(BASE!C157=0,"",BASE!C157)</f>
        <v/>
      </c>
      <c r="C157" s="19" t="str">
        <f>IF(BASE!D157=0,"",TRIM(BASE!D157))</f>
        <v/>
      </c>
      <c r="D157" s="21" t="str">
        <f>IFERROR(VLOOKUP(A157,AUX!A:B,2,0),"")</f>
        <v/>
      </c>
      <c r="E157" s="19" t="str">
        <f t="shared" si="20"/>
        <v/>
      </c>
      <c r="F157" s="19" t="str">
        <f t="shared" si="21"/>
        <v/>
      </c>
      <c r="G157" s="19" t="str">
        <f t="shared" si="22"/>
        <v/>
      </c>
      <c r="H157" s="19" t="str">
        <f t="shared" si="23"/>
        <v/>
      </c>
      <c r="I157" s="18" t="str">
        <f t="shared" si="18"/>
        <v/>
      </c>
      <c r="J157" s="18" t="str">
        <f t="shared" si="19"/>
        <v/>
      </c>
      <c r="K157" s="19" t="str">
        <f t="shared" si="24"/>
        <v/>
      </c>
      <c r="L157" s="19"/>
      <c r="M157" s="19"/>
      <c r="N157" s="19"/>
    </row>
    <row r="158" spans="1:14" customFormat="1">
      <c r="A158" s="20" t="str">
        <f>IF(BASE!B158=0,"",BASE!B158)</f>
        <v/>
      </c>
      <c r="B158" s="19" t="str">
        <f>IF(BASE!C158=0,"",BASE!C158)</f>
        <v/>
      </c>
      <c r="C158" s="19" t="str">
        <f>IF(BASE!D158=0,"",TRIM(BASE!D158))</f>
        <v/>
      </c>
      <c r="D158" s="21" t="str">
        <f>IFERROR(VLOOKUP(A158,AUX!A:B,2,0),"")</f>
        <v/>
      </c>
      <c r="E158" s="19" t="str">
        <f t="shared" si="20"/>
        <v/>
      </c>
      <c r="F158" s="19" t="str">
        <f t="shared" si="21"/>
        <v/>
      </c>
      <c r="G158" s="19" t="str">
        <f t="shared" si="22"/>
        <v/>
      </c>
      <c r="H158" s="19" t="str">
        <f t="shared" si="23"/>
        <v/>
      </c>
      <c r="I158" s="18" t="str">
        <f t="shared" si="18"/>
        <v/>
      </c>
      <c r="J158" s="18" t="str">
        <f t="shared" si="19"/>
        <v/>
      </c>
      <c r="K158" s="19" t="str">
        <f t="shared" si="24"/>
        <v/>
      </c>
      <c r="L158" s="19"/>
      <c r="M158" s="19"/>
      <c r="N158" s="19"/>
    </row>
    <row r="159" spans="1:14" customFormat="1">
      <c r="A159" s="20" t="str">
        <f>IF(BASE!B159=0,"",BASE!B159)</f>
        <v/>
      </c>
      <c r="B159" s="19" t="str">
        <f>IF(BASE!C159=0,"",BASE!C159)</f>
        <v/>
      </c>
      <c r="C159" s="19" t="str">
        <f>IF(BASE!D159=0,"",TRIM(BASE!D159))</f>
        <v/>
      </c>
      <c r="D159" s="21" t="str">
        <f>IFERROR(VLOOKUP(A159,AUX!A:B,2,0),"")</f>
        <v/>
      </c>
      <c r="E159" s="19" t="str">
        <f t="shared" si="20"/>
        <v/>
      </c>
      <c r="F159" s="19" t="str">
        <f t="shared" si="21"/>
        <v/>
      </c>
      <c r="G159" s="19" t="str">
        <f t="shared" si="22"/>
        <v/>
      </c>
      <c r="H159" s="19" t="str">
        <f t="shared" si="23"/>
        <v/>
      </c>
      <c r="I159" s="18" t="str">
        <f t="shared" si="18"/>
        <v/>
      </c>
      <c r="J159" s="18" t="str">
        <f t="shared" si="19"/>
        <v/>
      </c>
      <c r="K159" s="19" t="str">
        <f t="shared" si="24"/>
        <v/>
      </c>
      <c r="L159" s="19"/>
      <c r="M159" s="19"/>
      <c r="N159" s="19"/>
    </row>
    <row r="160" spans="1:14" customFormat="1">
      <c r="A160" s="20" t="str">
        <f>IF(BASE!B160=0,"",BASE!B160)</f>
        <v/>
      </c>
      <c r="B160" s="19" t="str">
        <f>IF(BASE!C160=0,"",BASE!C160)</f>
        <v/>
      </c>
      <c r="C160" s="19" t="str">
        <f>IF(BASE!D160=0,"",TRIM(BASE!D160))</f>
        <v/>
      </c>
      <c r="D160" s="21" t="str">
        <f>IFERROR(VLOOKUP(A160,AUX!A:B,2,0),"")</f>
        <v/>
      </c>
      <c r="E160" s="19" t="str">
        <f t="shared" si="20"/>
        <v/>
      </c>
      <c r="F160" s="19" t="str">
        <f t="shared" si="21"/>
        <v/>
      </c>
      <c r="G160" s="19" t="str">
        <f t="shared" si="22"/>
        <v/>
      </c>
      <c r="H160" s="19" t="str">
        <f t="shared" si="23"/>
        <v/>
      </c>
      <c r="I160" s="18" t="str">
        <f t="shared" ref="I160:I223" si="25">E160&amp;G160&amp;H160</f>
        <v/>
      </c>
      <c r="J160" s="18" t="str">
        <f t="shared" ref="J160:J223" si="26">IFERROR(LEFT(B160,FIND(" ",B160)),"")</f>
        <v/>
      </c>
      <c r="K160" s="19" t="str">
        <f t="shared" si="24"/>
        <v/>
      </c>
      <c r="L160" s="19"/>
      <c r="M160" s="19"/>
      <c r="N160" s="19"/>
    </row>
    <row r="161" spans="1:14" customFormat="1">
      <c r="A161" s="20" t="str">
        <f>IF(BASE!B161=0,"",BASE!B161)</f>
        <v/>
      </c>
      <c r="B161" s="19" t="str">
        <f>IF(BASE!C161=0,"",BASE!C161)</f>
        <v/>
      </c>
      <c r="C161" s="19" t="str">
        <f>IF(BASE!D161=0,"",TRIM(BASE!D161))</f>
        <v/>
      </c>
      <c r="D161" s="21" t="str">
        <f>IFERROR(VLOOKUP(A161,AUX!A:B,2,0),"")</f>
        <v/>
      </c>
      <c r="E161" s="19" t="str">
        <f t="shared" si="20"/>
        <v/>
      </c>
      <c r="F161" s="19" t="str">
        <f t="shared" si="21"/>
        <v/>
      </c>
      <c r="G161" s="19" t="str">
        <f t="shared" si="22"/>
        <v/>
      </c>
      <c r="H161" s="19" t="str">
        <f t="shared" si="23"/>
        <v/>
      </c>
      <c r="I161" s="18" t="str">
        <f t="shared" si="25"/>
        <v/>
      </c>
      <c r="J161" s="18" t="str">
        <f t="shared" si="26"/>
        <v/>
      </c>
      <c r="K161" s="19" t="str">
        <f t="shared" si="24"/>
        <v/>
      </c>
      <c r="L161" s="19"/>
      <c r="M161" s="19"/>
      <c r="N161" s="19"/>
    </row>
    <row r="162" spans="1:14" customFormat="1">
      <c r="A162" s="20" t="str">
        <f>IF(BASE!B162=0,"",BASE!B162)</f>
        <v/>
      </c>
      <c r="B162" s="19" t="str">
        <f>IF(BASE!C162=0,"",BASE!C162)</f>
        <v/>
      </c>
      <c r="C162" s="19" t="str">
        <f>IF(BASE!D162=0,"",TRIM(BASE!D162))</f>
        <v/>
      </c>
      <c r="D162" s="21" t="str">
        <f>IFERROR(VLOOKUP(A162,AUX!A:B,2,0),"")</f>
        <v/>
      </c>
      <c r="E162" s="19" t="str">
        <f t="shared" si="20"/>
        <v/>
      </c>
      <c r="F162" s="19" t="str">
        <f t="shared" si="21"/>
        <v/>
      </c>
      <c r="G162" s="19" t="str">
        <f t="shared" si="22"/>
        <v/>
      </c>
      <c r="H162" s="19" t="str">
        <f t="shared" si="23"/>
        <v/>
      </c>
      <c r="I162" s="18" t="str">
        <f t="shared" si="25"/>
        <v/>
      </c>
      <c r="J162" s="18" t="str">
        <f t="shared" si="26"/>
        <v/>
      </c>
      <c r="K162" s="19" t="str">
        <f t="shared" si="24"/>
        <v/>
      </c>
      <c r="L162" s="19"/>
      <c r="M162" s="19"/>
      <c r="N162" s="19"/>
    </row>
    <row r="163" spans="1:14" customFormat="1">
      <c r="A163" s="20" t="str">
        <f>IF(BASE!B163=0,"",BASE!B163)</f>
        <v/>
      </c>
      <c r="B163" s="19" t="str">
        <f>IF(BASE!C163=0,"",BASE!C163)</f>
        <v/>
      </c>
      <c r="C163" s="19" t="str">
        <f>IF(BASE!D163=0,"",TRIM(BASE!D163))</f>
        <v/>
      </c>
      <c r="D163" s="21" t="str">
        <f>IFERROR(VLOOKUP(A163,AUX!A:B,2,0),"")</f>
        <v/>
      </c>
      <c r="E163" s="19" t="str">
        <f t="shared" si="20"/>
        <v/>
      </c>
      <c r="F163" s="19" t="str">
        <f t="shared" si="21"/>
        <v/>
      </c>
      <c r="G163" s="19" t="str">
        <f t="shared" si="22"/>
        <v/>
      </c>
      <c r="H163" s="19" t="str">
        <f t="shared" si="23"/>
        <v/>
      </c>
      <c r="I163" s="18" t="str">
        <f t="shared" si="25"/>
        <v/>
      </c>
      <c r="J163" s="18" t="str">
        <f t="shared" si="26"/>
        <v/>
      </c>
      <c r="K163" s="19" t="str">
        <f t="shared" si="24"/>
        <v/>
      </c>
      <c r="L163" s="19"/>
      <c r="M163" s="19"/>
      <c r="N163" s="19"/>
    </row>
    <row r="164" spans="1:14" customFormat="1">
      <c r="A164" s="20" t="str">
        <f>IF(BASE!B164=0,"",BASE!B164)</f>
        <v/>
      </c>
      <c r="B164" s="19" t="str">
        <f>IF(BASE!C164=0,"",BASE!C164)</f>
        <v/>
      </c>
      <c r="C164" s="19" t="str">
        <f>IF(BASE!D164=0,"",TRIM(BASE!D164))</f>
        <v/>
      </c>
      <c r="D164" s="21" t="str">
        <f>IFERROR(VLOOKUP(A164,AUX!A:B,2,0),"")</f>
        <v/>
      </c>
      <c r="E164" s="19" t="str">
        <f t="shared" si="20"/>
        <v/>
      </c>
      <c r="F164" s="19" t="str">
        <f t="shared" si="21"/>
        <v/>
      </c>
      <c r="G164" s="19" t="str">
        <f t="shared" si="22"/>
        <v/>
      </c>
      <c r="H164" s="19" t="str">
        <f t="shared" si="23"/>
        <v/>
      </c>
      <c r="I164" s="18" t="str">
        <f t="shared" si="25"/>
        <v/>
      </c>
      <c r="J164" s="18" t="str">
        <f t="shared" si="26"/>
        <v/>
      </c>
      <c r="K164" s="19" t="str">
        <f t="shared" si="24"/>
        <v/>
      </c>
      <c r="L164" s="19"/>
      <c r="M164" s="19"/>
      <c r="N164" s="19"/>
    </row>
    <row r="165" spans="1:14" customFormat="1">
      <c r="A165" s="20" t="str">
        <f>IF(BASE!B165=0,"",BASE!B165)</f>
        <v/>
      </c>
      <c r="B165" s="19" t="str">
        <f>IF(BASE!C165=0,"",BASE!C165)</f>
        <v/>
      </c>
      <c r="C165" s="19" t="str">
        <f>IF(BASE!D165=0,"",TRIM(BASE!D165))</f>
        <v/>
      </c>
      <c r="D165" s="21" t="str">
        <f>IFERROR(VLOOKUP(A165,AUX!A:B,2,0),"")</f>
        <v/>
      </c>
      <c r="E165" s="19" t="str">
        <f t="shared" si="20"/>
        <v/>
      </c>
      <c r="F165" s="19" t="str">
        <f t="shared" si="21"/>
        <v/>
      </c>
      <c r="G165" s="19" t="str">
        <f t="shared" si="22"/>
        <v/>
      </c>
      <c r="H165" s="19" t="str">
        <f t="shared" si="23"/>
        <v/>
      </c>
      <c r="I165" s="18" t="str">
        <f t="shared" si="25"/>
        <v/>
      </c>
      <c r="J165" s="18" t="str">
        <f t="shared" si="26"/>
        <v/>
      </c>
      <c r="K165" s="19" t="str">
        <f t="shared" si="24"/>
        <v/>
      </c>
      <c r="L165" s="19"/>
      <c r="M165" s="19"/>
      <c r="N165" s="19"/>
    </row>
    <row r="166" spans="1:14" customFormat="1">
      <c r="A166" s="20" t="str">
        <f>IF(BASE!B166=0,"",BASE!B166)</f>
        <v/>
      </c>
      <c r="B166" s="19" t="str">
        <f>IF(BASE!C166=0,"",BASE!C166)</f>
        <v/>
      </c>
      <c r="C166" s="19" t="str">
        <f>IF(BASE!D166=0,"",TRIM(BASE!D166))</f>
        <v/>
      </c>
      <c r="D166" s="21" t="str">
        <f>IFERROR(VLOOKUP(A166,AUX!A:B,2,0),"")</f>
        <v/>
      </c>
      <c r="E166" s="19" t="str">
        <f t="shared" si="20"/>
        <v/>
      </c>
      <c r="F166" s="19" t="str">
        <f t="shared" si="21"/>
        <v/>
      </c>
      <c r="G166" s="19" t="str">
        <f t="shared" si="22"/>
        <v/>
      </c>
      <c r="H166" s="19" t="str">
        <f t="shared" si="23"/>
        <v/>
      </c>
      <c r="I166" s="18" t="str">
        <f t="shared" si="25"/>
        <v/>
      </c>
      <c r="J166" s="18" t="str">
        <f t="shared" si="26"/>
        <v/>
      </c>
      <c r="K166" s="19" t="str">
        <f t="shared" si="24"/>
        <v/>
      </c>
      <c r="L166" s="19"/>
      <c r="M166" s="19"/>
      <c r="N166" s="19"/>
    </row>
    <row r="167" spans="1:14" customFormat="1">
      <c r="A167" s="20" t="str">
        <f>IF(BASE!B167=0,"",BASE!B167)</f>
        <v/>
      </c>
      <c r="B167" s="19" t="str">
        <f>IF(BASE!C167=0,"",BASE!C167)</f>
        <v/>
      </c>
      <c r="C167" s="19" t="str">
        <f>IF(BASE!D167=0,"",TRIM(BASE!D167))</f>
        <v/>
      </c>
      <c r="D167" s="21" t="str">
        <f>IFERROR(VLOOKUP(A167,AUX!A:B,2,0),"")</f>
        <v/>
      </c>
      <c r="E167" s="19" t="str">
        <f t="shared" si="20"/>
        <v/>
      </c>
      <c r="F167" s="19" t="str">
        <f t="shared" si="21"/>
        <v/>
      </c>
      <c r="G167" s="19" t="str">
        <f t="shared" si="22"/>
        <v/>
      </c>
      <c r="H167" s="19" t="str">
        <f t="shared" si="23"/>
        <v/>
      </c>
      <c r="I167" s="18" t="str">
        <f t="shared" si="25"/>
        <v/>
      </c>
      <c r="J167" s="18" t="str">
        <f t="shared" si="26"/>
        <v/>
      </c>
      <c r="K167" s="19" t="str">
        <f t="shared" si="24"/>
        <v/>
      </c>
      <c r="L167" s="19"/>
      <c r="M167" s="19"/>
      <c r="N167" s="19"/>
    </row>
    <row r="168" spans="1:14" customFormat="1">
      <c r="A168" s="20" t="str">
        <f>IF(BASE!B168=0,"",BASE!B168)</f>
        <v/>
      </c>
      <c r="B168" s="19" t="str">
        <f>IF(BASE!C168=0,"",BASE!C168)</f>
        <v/>
      </c>
      <c r="C168" s="19" t="str">
        <f>IF(BASE!D168=0,"",TRIM(BASE!D168))</f>
        <v/>
      </c>
      <c r="D168" s="21" t="str">
        <f>IFERROR(VLOOKUP(A168,AUX!A:B,2,0),"")</f>
        <v/>
      </c>
      <c r="E168" s="19" t="str">
        <f t="shared" si="20"/>
        <v/>
      </c>
      <c r="F168" s="19" t="str">
        <f t="shared" si="21"/>
        <v/>
      </c>
      <c r="G168" s="19" t="str">
        <f t="shared" si="22"/>
        <v/>
      </c>
      <c r="H168" s="19" t="str">
        <f t="shared" si="23"/>
        <v/>
      </c>
      <c r="I168" s="18" t="str">
        <f t="shared" si="25"/>
        <v/>
      </c>
      <c r="J168" s="18" t="str">
        <f t="shared" si="26"/>
        <v/>
      </c>
      <c r="K168" s="19" t="str">
        <f t="shared" si="24"/>
        <v/>
      </c>
      <c r="L168" s="19"/>
      <c r="M168" s="19"/>
      <c r="N168" s="19"/>
    </row>
    <row r="169" spans="1:14" customFormat="1">
      <c r="A169" s="20" t="str">
        <f>IF(BASE!B169=0,"",BASE!B169)</f>
        <v/>
      </c>
      <c r="B169" s="19" t="str">
        <f>IF(BASE!C169=0,"",BASE!C169)</f>
        <v/>
      </c>
      <c r="C169" s="19" t="str">
        <f>IF(BASE!D169=0,"",TRIM(BASE!D169))</f>
        <v/>
      </c>
      <c r="D169" s="21" t="str">
        <f>IFERROR(VLOOKUP(A169,AUX!A:B,2,0),"")</f>
        <v/>
      </c>
      <c r="E169" s="19" t="str">
        <f t="shared" si="20"/>
        <v/>
      </c>
      <c r="F169" s="19" t="str">
        <f t="shared" si="21"/>
        <v/>
      </c>
      <c r="G169" s="19" t="str">
        <f t="shared" si="22"/>
        <v/>
      </c>
      <c r="H169" s="19" t="str">
        <f t="shared" si="23"/>
        <v/>
      </c>
      <c r="I169" s="18" t="str">
        <f t="shared" si="25"/>
        <v/>
      </c>
      <c r="J169" s="18" t="str">
        <f t="shared" si="26"/>
        <v/>
      </c>
      <c r="K169" s="19" t="str">
        <f t="shared" si="24"/>
        <v/>
      </c>
      <c r="L169" s="19"/>
      <c r="M169" s="19"/>
      <c r="N169" s="19"/>
    </row>
    <row r="170" spans="1:14" customFormat="1">
      <c r="A170" s="20" t="str">
        <f>IF(BASE!B170=0,"",BASE!B170)</f>
        <v/>
      </c>
      <c r="B170" s="19" t="str">
        <f>IF(BASE!C170=0,"",BASE!C170)</f>
        <v/>
      </c>
      <c r="C170" s="19" t="str">
        <f>IF(BASE!D170=0,"",TRIM(BASE!D170))</f>
        <v/>
      </c>
      <c r="D170" s="21" t="str">
        <f>IFERROR(VLOOKUP(A170,AUX!A:B,2,0),"")</f>
        <v/>
      </c>
      <c r="E170" s="19" t="str">
        <f t="shared" si="20"/>
        <v/>
      </c>
      <c r="F170" s="19" t="str">
        <f t="shared" si="21"/>
        <v/>
      </c>
      <c r="G170" s="19" t="str">
        <f t="shared" si="22"/>
        <v/>
      </c>
      <c r="H170" s="19" t="str">
        <f t="shared" si="23"/>
        <v/>
      </c>
      <c r="I170" s="18" t="str">
        <f t="shared" si="25"/>
        <v/>
      </c>
      <c r="J170" s="18" t="str">
        <f t="shared" si="26"/>
        <v/>
      </c>
      <c r="K170" s="19" t="str">
        <f t="shared" si="24"/>
        <v/>
      </c>
      <c r="L170" s="19"/>
      <c r="M170" s="19"/>
      <c r="N170" s="19"/>
    </row>
    <row r="171" spans="1:14" customFormat="1">
      <c r="A171" s="20" t="str">
        <f>IF(BASE!B171=0,"",BASE!B171)</f>
        <v/>
      </c>
      <c r="B171" s="19" t="str">
        <f>IF(BASE!C171=0,"",BASE!C171)</f>
        <v/>
      </c>
      <c r="C171" s="19" t="str">
        <f>IF(BASE!D171=0,"",TRIM(BASE!D171))</f>
        <v/>
      </c>
      <c r="D171" s="21" t="str">
        <f>IFERROR(VLOOKUP(A171,AUX!A:B,2,0),"")</f>
        <v/>
      </c>
      <c r="E171" s="19" t="str">
        <f t="shared" si="20"/>
        <v/>
      </c>
      <c r="F171" s="19" t="str">
        <f t="shared" si="21"/>
        <v/>
      </c>
      <c r="G171" s="19" t="str">
        <f t="shared" si="22"/>
        <v/>
      </c>
      <c r="H171" s="19" t="str">
        <f t="shared" si="23"/>
        <v/>
      </c>
      <c r="I171" s="18" t="str">
        <f t="shared" si="25"/>
        <v/>
      </c>
      <c r="J171" s="18" t="str">
        <f t="shared" si="26"/>
        <v/>
      </c>
      <c r="K171" s="19" t="str">
        <f t="shared" si="24"/>
        <v/>
      </c>
      <c r="L171" s="19"/>
      <c r="M171" s="19"/>
      <c r="N171" s="19"/>
    </row>
    <row r="172" spans="1:14" customFormat="1">
      <c r="A172" s="20" t="str">
        <f>IF(BASE!B172=0,"",BASE!B172)</f>
        <v/>
      </c>
      <c r="B172" s="19" t="str">
        <f>IF(BASE!C172=0,"",BASE!C172)</f>
        <v/>
      </c>
      <c r="C172" s="19" t="str">
        <f>IF(BASE!D172=0,"",TRIM(BASE!D172))</f>
        <v/>
      </c>
      <c r="D172" s="21" t="str">
        <f>IFERROR(VLOOKUP(A172,AUX!A:B,2,0),"")</f>
        <v/>
      </c>
      <c r="E172" s="19" t="str">
        <f t="shared" si="20"/>
        <v/>
      </c>
      <c r="F172" s="19" t="str">
        <f t="shared" si="21"/>
        <v/>
      </c>
      <c r="G172" s="19" t="str">
        <f t="shared" si="22"/>
        <v/>
      </c>
      <c r="H172" s="19" t="str">
        <f t="shared" si="23"/>
        <v/>
      </c>
      <c r="I172" s="18" t="str">
        <f t="shared" si="25"/>
        <v/>
      </c>
      <c r="J172" s="18" t="str">
        <f t="shared" si="26"/>
        <v/>
      </c>
      <c r="K172" s="19" t="str">
        <f t="shared" si="24"/>
        <v/>
      </c>
      <c r="L172" s="19"/>
      <c r="M172" s="19"/>
      <c r="N172" s="19"/>
    </row>
    <row r="173" spans="1:14" customFormat="1">
      <c r="A173" s="20" t="str">
        <f>IF(BASE!B173=0,"",BASE!B173)</f>
        <v/>
      </c>
      <c r="B173" s="19" t="str">
        <f>IF(BASE!C173=0,"",BASE!C173)</f>
        <v/>
      </c>
      <c r="C173" s="19" t="str">
        <f>IF(BASE!D173=0,"",TRIM(BASE!D173))</f>
        <v/>
      </c>
      <c r="D173" s="21" t="str">
        <f>IFERROR(VLOOKUP(A173,AUX!A:B,2,0),"")</f>
        <v/>
      </c>
      <c r="E173" s="19" t="str">
        <f t="shared" si="20"/>
        <v/>
      </c>
      <c r="F173" s="19" t="str">
        <f t="shared" si="21"/>
        <v/>
      </c>
      <c r="G173" s="19" t="str">
        <f t="shared" si="22"/>
        <v/>
      </c>
      <c r="H173" s="19" t="str">
        <f t="shared" si="23"/>
        <v/>
      </c>
      <c r="I173" s="18" t="str">
        <f t="shared" si="25"/>
        <v/>
      </c>
      <c r="J173" s="18" t="str">
        <f t="shared" si="26"/>
        <v/>
      </c>
      <c r="K173" s="19" t="str">
        <f t="shared" si="24"/>
        <v/>
      </c>
      <c r="L173" s="19"/>
      <c r="M173" s="19"/>
      <c r="N173" s="19"/>
    </row>
    <row r="174" spans="1:14" customFormat="1">
      <c r="A174" s="20" t="str">
        <f>IF(BASE!B174=0,"",BASE!B174)</f>
        <v/>
      </c>
      <c r="B174" s="19" t="str">
        <f>IF(BASE!C174=0,"",BASE!C174)</f>
        <v/>
      </c>
      <c r="C174" s="19" t="str">
        <f>IF(BASE!D174=0,"",TRIM(BASE!D174))</f>
        <v/>
      </c>
      <c r="D174" s="21" t="str">
        <f>IFERROR(VLOOKUP(A174,AUX!A:B,2,0),"")</f>
        <v/>
      </c>
      <c r="E174" s="19" t="str">
        <f t="shared" si="20"/>
        <v/>
      </c>
      <c r="F174" s="19" t="str">
        <f t="shared" si="21"/>
        <v/>
      </c>
      <c r="G174" s="19" t="str">
        <f t="shared" si="22"/>
        <v/>
      </c>
      <c r="H174" s="19" t="str">
        <f t="shared" si="23"/>
        <v/>
      </c>
      <c r="I174" s="18" t="str">
        <f t="shared" si="25"/>
        <v/>
      </c>
      <c r="J174" s="18" t="str">
        <f t="shared" si="26"/>
        <v/>
      </c>
      <c r="K174" s="19" t="str">
        <f t="shared" si="24"/>
        <v/>
      </c>
      <c r="L174" s="19"/>
      <c r="M174" s="19"/>
      <c r="N174" s="19"/>
    </row>
    <row r="175" spans="1:14" customFormat="1">
      <c r="A175" s="20" t="str">
        <f>IF(BASE!B175=0,"",BASE!B175)</f>
        <v/>
      </c>
      <c r="B175" s="19" t="str">
        <f>IF(BASE!C175=0,"",BASE!C175)</f>
        <v/>
      </c>
      <c r="C175" s="19" t="str">
        <f>IF(BASE!D175=0,"",TRIM(BASE!D175))</f>
        <v/>
      </c>
      <c r="D175" s="21" t="str">
        <f>IFERROR(VLOOKUP(A175,AUX!A:B,2,0),"")</f>
        <v/>
      </c>
      <c r="E175" s="19" t="str">
        <f t="shared" si="20"/>
        <v/>
      </c>
      <c r="F175" s="19" t="str">
        <f t="shared" si="21"/>
        <v/>
      </c>
      <c r="G175" s="19" t="str">
        <f t="shared" si="22"/>
        <v/>
      </c>
      <c r="H175" s="19" t="str">
        <f t="shared" si="23"/>
        <v/>
      </c>
      <c r="I175" s="18" t="str">
        <f t="shared" si="25"/>
        <v/>
      </c>
      <c r="J175" s="18" t="str">
        <f t="shared" si="26"/>
        <v/>
      </c>
      <c r="K175" s="19" t="str">
        <f t="shared" si="24"/>
        <v/>
      </c>
      <c r="L175" s="19"/>
      <c r="M175" s="19"/>
      <c r="N175" s="19"/>
    </row>
    <row r="176" spans="1:14" customFormat="1">
      <c r="A176" s="20" t="str">
        <f>IF(BASE!B176=0,"",BASE!B176)</f>
        <v/>
      </c>
      <c r="B176" s="19" t="str">
        <f>IF(BASE!C176=0,"",BASE!C176)</f>
        <v/>
      </c>
      <c r="C176" s="19" t="str">
        <f>IF(BASE!D176=0,"",TRIM(BASE!D176))</f>
        <v/>
      </c>
      <c r="D176" s="21" t="str">
        <f>IFERROR(VLOOKUP(A176,AUX!A:B,2,0),"")</f>
        <v/>
      </c>
      <c r="E176" s="19" t="str">
        <f t="shared" si="20"/>
        <v/>
      </c>
      <c r="F176" s="19" t="str">
        <f t="shared" si="21"/>
        <v/>
      </c>
      <c r="G176" s="19" t="str">
        <f t="shared" si="22"/>
        <v/>
      </c>
      <c r="H176" s="19" t="str">
        <f t="shared" si="23"/>
        <v/>
      </c>
      <c r="I176" s="18" t="str">
        <f t="shared" si="25"/>
        <v/>
      </c>
      <c r="J176" s="18" t="str">
        <f t="shared" si="26"/>
        <v/>
      </c>
      <c r="K176" s="19" t="str">
        <f t="shared" si="24"/>
        <v/>
      </c>
      <c r="L176" s="19"/>
      <c r="M176" s="19"/>
      <c r="N176" s="19"/>
    </row>
    <row r="177" spans="1:14" customFormat="1">
      <c r="A177" s="20" t="str">
        <f>IF(BASE!B177=0,"",BASE!B177)</f>
        <v/>
      </c>
      <c r="B177" s="19" t="str">
        <f>IF(BASE!C177=0,"",BASE!C177)</f>
        <v/>
      </c>
      <c r="C177" s="19" t="str">
        <f>IF(BASE!D177=0,"",TRIM(BASE!D177))</f>
        <v/>
      </c>
      <c r="D177" s="21" t="str">
        <f>IFERROR(VLOOKUP(A177,AUX!A:B,2,0),"")</f>
        <v/>
      </c>
      <c r="E177" s="19" t="str">
        <f t="shared" si="20"/>
        <v/>
      </c>
      <c r="F177" s="19" t="str">
        <f t="shared" si="21"/>
        <v/>
      </c>
      <c r="G177" s="19" t="str">
        <f t="shared" si="22"/>
        <v/>
      </c>
      <c r="H177" s="19" t="str">
        <f t="shared" si="23"/>
        <v/>
      </c>
      <c r="I177" s="18" t="str">
        <f t="shared" si="25"/>
        <v/>
      </c>
      <c r="J177" s="18" t="str">
        <f t="shared" si="26"/>
        <v/>
      </c>
      <c r="K177" s="19" t="str">
        <f t="shared" si="24"/>
        <v/>
      </c>
      <c r="L177" s="19"/>
      <c r="M177" s="19"/>
      <c r="N177" s="19"/>
    </row>
    <row r="178" spans="1:14" customFormat="1">
      <c r="A178" s="20" t="str">
        <f>IF(BASE!B178=0,"",BASE!B178)</f>
        <v/>
      </c>
      <c r="B178" s="19" t="str">
        <f>IF(BASE!C178=0,"",BASE!C178)</f>
        <v/>
      </c>
      <c r="C178" s="19" t="str">
        <f>IF(BASE!D178=0,"",TRIM(BASE!D178))</f>
        <v/>
      </c>
      <c r="D178" s="21" t="str">
        <f>IFERROR(VLOOKUP(A178,AUX!A:B,2,0),"")</f>
        <v/>
      </c>
      <c r="E178" s="19" t="str">
        <f t="shared" si="20"/>
        <v/>
      </c>
      <c r="F178" s="19" t="str">
        <f t="shared" si="21"/>
        <v/>
      </c>
      <c r="G178" s="19" t="str">
        <f t="shared" si="22"/>
        <v/>
      </c>
      <c r="H178" s="19" t="str">
        <f t="shared" si="23"/>
        <v/>
      </c>
      <c r="I178" s="18" t="str">
        <f t="shared" si="25"/>
        <v/>
      </c>
      <c r="J178" s="18" t="str">
        <f t="shared" si="26"/>
        <v/>
      </c>
      <c r="K178" s="19" t="str">
        <f t="shared" si="24"/>
        <v/>
      </c>
      <c r="L178" s="19"/>
      <c r="M178" s="19"/>
      <c r="N178" s="19"/>
    </row>
    <row r="179" spans="1:14" customFormat="1">
      <c r="A179" s="20" t="str">
        <f>IF(BASE!B179=0,"",BASE!B179)</f>
        <v/>
      </c>
      <c r="B179" s="19" t="str">
        <f>IF(BASE!C179=0,"",BASE!C179)</f>
        <v/>
      </c>
      <c r="C179" s="19" t="str">
        <f>IF(BASE!D179=0,"",TRIM(BASE!D179))</f>
        <v/>
      </c>
      <c r="D179" s="21" t="str">
        <f>IFERROR(VLOOKUP(A179,AUX!A:B,2,0),"")</f>
        <v/>
      </c>
      <c r="E179" s="19" t="str">
        <f t="shared" si="20"/>
        <v/>
      </c>
      <c r="F179" s="19" t="str">
        <f t="shared" si="21"/>
        <v/>
      </c>
      <c r="G179" s="19" t="str">
        <f t="shared" si="22"/>
        <v/>
      </c>
      <c r="H179" s="19" t="str">
        <f t="shared" si="23"/>
        <v/>
      </c>
      <c r="I179" s="18" t="str">
        <f t="shared" si="25"/>
        <v/>
      </c>
      <c r="J179" s="18" t="str">
        <f t="shared" si="26"/>
        <v/>
      </c>
      <c r="K179" s="19" t="str">
        <f t="shared" si="24"/>
        <v/>
      </c>
      <c r="L179" s="19"/>
      <c r="M179" s="19"/>
      <c r="N179" s="19"/>
    </row>
    <row r="180" spans="1:14" customFormat="1">
      <c r="A180" s="20" t="str">
        <f>IF(BASE!B180=0,"",BASE!B180)</f>
        <v/>
      </c>
      <c r="B180" s="19" t="str">
        <f>IF(BASE!C180=0,"",BASE!C180)</f>
        <v/>
      </c>
      <c r="C180" s="19" t="str">
        <f>IF(BASE!D180=0,"",TRIM(BASE!D180))</f>
        <v/>
      </c>
      <c r="D180" s="21" t="str">
        <f>IFERROR(VLOOKUP(A180,AUX!A:B,2,0),"")</f>
        <v/>
      </c>
      <c r="E180" s="19" t="str">
        <f t="shared" si="20"/>
        <v/>
      </c>
      <c r="F180" s="19" t="str">
        <f t="shared" si="21"/>
        <v/>
      </c>
      <c r="G180" s="19" t="str">
        <f t="shared" si="22"/>
        <v/>
      </c>
      <c r="H180" s="19" t="str">
        <f t="shared" si="23"/>
        <v/>
      </c>
      <c r="I180" s="18" t="str">
        <f t="shared" si="25"/>
        <v/>
      </c>
      <c r="J180" s="18" t="str">
        <f t="shared" si="26"/>
        <v/>
      </c>
      <c r="K180" s="19" t="str">
        <f t="shared" si="24"/>
        <v/>
      </c>
      <c r="L180" s="19"/>
      <c r="M180" s="19"/>
      <c r="N180" s="19"/>
    </row>
    <row r="181" spans="1:14" customFormat="1">
      <c r="A181" s="20" t="str">
        <f>IF(BASE!B181=0,"",BASE!B181)</f>
        <v/>
      </c>
      <c r="B181" s="19" t="str">
        <f>IF(BASE!C181=0,"",BASE!C181)</f>
        <v/>
      </c>
      <c r="C181" s="19" t="str">
        <f>IF(BASE!D181=0,"",TRIM(BASE!D181))</f>
        <v/>
      </c>
      <c r="D181" s="21" t="str">
        <f>IFERROR(VLOOKUP(A181,AUX!A:B,2,0),"")</f>
        <v/>
      </c>
      <c r="E181" s="19" t="str">
        <f t="shared" si="20"/>
        <v/>
      </c>
      <c r="F181" s="19" t="str">
        <f t="shared" si="21"/>
        <v/>
      </c>
      <c r="G181" s="19" t="str">
        <f t="shared" si="22"/>
        <v/>
      </c>
      <c r="H181" s="19" t="str">
        <f t="shared" si="23"/>
        <v/>
      </c>
      <c r="I181" s="18" t="str">
        <f t="shared" si="25"/>
        <v/>
      </c>
      <c r="J181" s="18" t="str">
        <f t="shared" si="26"/>
        <v/>
      </c>
      <c r="K181" s="19" t="str">
        <f t="shared" si="24"/>
        <v/>
      </c>
      <c r="L181" s="19"/>
      <c r="M181" s="19"/>
      <c r="N181" s="19"/>
    </row>
    <row r="182" spans="1:14" customFormat="1">
      <c r="A182" s="20" t="str">
        <f>IF(BASE!B182=0,"",BASE!B182)</f>
        <v/>
      </c>
      <c r="B182" s="19" t="str">
        <f>IF(BASE!C182=0,"",BASE!C182)</f>
        <v/>
      </c>
      <c r="C182" s="19" t="str">
        <f>IF(BASE!D182=0,"",TRIM(BASE!D182))</f>
        <v/>
      </c>
      <c r="D182" s="21" t="str">
        <f>IFERROR(VLOOKUP(A182,AUX!A:B,2,0),"")</f>
        <v/>
      </c>
      <c r="E182" s="19" t="str">
        <f t="shared" si="20"/>
        <v/>
      </c>
      <c r="F182" s="19" t="str">
        <f t="shared" si="21"/>
        <v/>
      </c>
      <c r="G182" s="19" t="str">
        <f t="shared" si="22"/>
        <v/>
      </c>
      <c r="H182" s="19" t="str">
        <f t="shared" si="23"/>
        <v/>
      </c>
      <c r="I182" s="18" t="str">
        <f t="shared" si="25"/>
        <v/>
      </c>
      <c r="J182" s="18" t="str">
        <f t="shared" si="26"/>
        <v/>
      </c>
      <c r="K182" s="19" t="str">
        <f t="shared" si="24"/>
        <v/>
      </c>
      <c r="L182" s="19"/>
      <c r="M182" s="19"/>
      <c r="N182" s="19"/>
    </row>
    <row r="183" spans="1:14" customFormat="1">
      <c r="A183" s="20" t="str">
        <f>IF(BASE!B183=0,"",BASE!B183)</f>
        <v/>
      </c>
      <c r="B183" s="19" t="str">
        <f>IF(BASE!C183=0,"",BASE!C183)</f>
        <v/>
      </c>
      <c r="C183" s="19" t="str">
        <f>IF(BASE!D183=0,"",TRIM(BASE!D183))</f>
        <v/>
      </c>
      <c r="D183" s="21" t="str">
        <f>IFERROR(VLOOKUP(A183,AUX!A:B,2,0),"")</f>
        <v/>
      </c>
      <c r="E183" s="19" t="str">
        <f t="shared" si="20"/>
        <v/>
      </c>
      <c r="F183" s="19" t="str">
        <f t="shared" si="21"/>
        <v/>
      </c>
      <c r="G183" s="19" t="str">
        <f t="shared" si="22"/>
        <v/>
      </c>
      <c r="H183" s="19" t="str">
        <f t="shared" si="23"/>
        <v/>
      </c>
      <c r="I183" s="18" t="str">
        <f t="shared" si="25"/>
        <v/>
      </c>
      <c r="J183" s="18" t="str">
        <f t="shared" si="26"/>
        <v/>
      </c>
      <c r="K183" s="19" t="str">
        <f t="shared" si="24"/>
        <v/>
      </c>
      <c r="L183" s="19"/>
      <c r="M183" s="19"/>
      <c r="N183" s="19"/>
    </row>
    <row r="184" spans="1:14" customFormat="1">
      <c r="A184" s="20" t="str">
        <f>IF(BASE!B184=0,"",BASE!B184)</f>
        <v/>
      </c>
      <c r="B184" s="19" t="str">
        <f>IF(BASE!C184=0,"",BASE!C184)</f>
        <v/>
      </c>
      <c r="C184" s="19" t="str">
        <f>IF(BASE!D184=0,"",TRIM(BASE!D184))</f>
        <v/>
      </c>
      <c r="D184" s="21" t="str">
        <f>IFERROR(VLOOKUP(A184,AUX!A:B,2,0),"")</f>
        <v/>
      </c>
      <c r="E184" s="19" t="str">
        <f t="shared" si="20"/>
        <v/>
      </c>
      <c r="F184" s="19" t="str">
        <f t="shared" si="21"/>
        <v/>
      </c>
      <c r="G184" s="19" t="str">
        <f t="shared" si="22"/>
        <v/>
      </c>
      <c r="H184" s="19" t="str">
        <f t="shared" si="23"/>
        <v/>
      </c>
      <c r="I184" s="18" t="str">
        <f t="shared" si="25"/>
        <v/>
      </c>
      <c r="J184" s="18" t="str">
        <f t="shared" si="26"/>
        <v/>
      </c>
      <c r="K184" s="19" t="str">
        <f t="shared" si="24"/>
        <v/>
      </c>
      <c r="L184" s="19"/>
      <c r="M184" s="19"/>
      <c r="N184" s="19"/>
    </row>
    <row r="185" spans="1:14" customFormat="1">
      <c r="A185" s="20" t="str">
        <f>IF(BASE!B185=0,"",BASE!B185)</f>
        <v/>
      </c>
      <c r="B185" s="19" t="str">
        <f>IF(BASE!C185=0,"",BASE!C185)</f>
        <v/>
      </c>
      <c r="C185" s="19" t="str">
        <f>IF(BASE!D185=0,"",TRIM(BASE!D185))</f>
        <v/>
      </c>
      <c r="D185" s="21" t="str">
        <f>IFERROR(VLOOKUP(A185,AUX!A:B,2,0),"")</f>
        <v/>
      </c>
      <c r="E185" s="19" t="str">
        <f t="shared" si="20"/>
        <v/>
      </c>
      <c r="F185" s="19" t="str">
        <f t="shared" si="21"/>
        <v/>
      </c>
      <c r="G185" s="19" t="str">
        <f t="shared" si="22"/>
        <v/>
      </c>
      <c r="H185" s="19" t="str">
        <f t="shared" si="23"/>
        <v/>
      </c>
      <c r="I185" s="18" t="str">
        <f t="shared" si="25"/>
        <v/>
      </c>
      <c r="J185" s="18" t="str">
        <f t="shared" si="26"/>
        <v/>
      </c>
      <c r="K185" s="19" t="str">
        <f t="shared" si="24"/>
        <v/>
      </c>
      <c r="L185" s="19"/>
      <c r="M185" s="19"/>
      <c r="N185" s="19"/>
    </row>
    <row r="186" spans="1:14" customFormat="1">
      <c r="A186" s="20" t="str">
        <f>IF(BASE!B186=0,"",BASE!B186)</f>
        <v/>
      </c>
      <c r="B186" s="19" t="str">
        <f>IF(BASE!C186=0,"",BASE!C186)</f>
        <v/>
      </c>
      <c r="C186" s="19" t="str">
        <f>IF(BASE!D186=0,"",TRIM(BASE!D186))</f>
        <v/>
      </c>
      <c r="D186" s="21" t="str">
        <f>IFERROR(VLOOKUP(A186,AUX!A:B,2,0),"")</f>
        <v/>
      </c>
      <c r="E186" s="19" t="str">
        <f t="shared" si="20"/>
        <v/>
      </c>
      <c r="F186" s="19" t="str">
        <f t="shared" si="21"/>
        <v/>
      </c>
      <c r="G186" s="19" t="str">
        <f t="shared" si="22"/>
        <v/>
      </c>
      <c r="H186" s="19" t="str">
        <f t="shared" si="23"/>
        <v/>
      </c>
      <c r="I186" s="18" t="str">
        <f t="shared" si="25"/>
        <v/>
      </c>
      <c r="J186" s="18" t="str">
        <f t="shared" si="26"/>
        <v/>
      </c>
      <c r="K186" s="19" t="str">
        <f t="shared" si="24"/>
        <v/>
      </c>
      <c r="L186" s="19"/>
      <c r="M186" s="19"/>
      <c r="N186" s="19"/>
    </row>
    <row r="187" spans="1:14" customFormat="1">
      <c r="A187" s="20" t="str">
        <f>IF(BASE!B187=0,"",BASE!B187)</f>
        <v/>
      </c>
      <c r="B187" s="19" t="str">
        <f>IF(BASE!C187=0,"",BASE!C187)</f>
        <v/>
      </c>
      <c r="C187" s="19" t="str">
        <f>IF(BASE!D187=0,"",TRIM(BASE!D187))</f>
        <v/>
      </c>
      <c r="D187" s="21" t="str">
        <f>IFERROR(VLOOKUP(A187,AUX!A:B,2,0),"")</f>
        <v/>
      </c>
      <c r="E187" s="19" t="str">
        <f t="shared" si="20"/>
        <v/>
      </c>
      <c r="F187" s="19" t="str">
        <f t="shared" si="21"/>
        <v/>
      </c>
      <c r="G187" s="19" t="str">
        <f t="shared" si="22"/>
        <v/>
      </c>
      <c r="H187" s="19" t="str">
        <f t="shared" si="23"/>
        <v/>
      </c>
      <c r="I187" s="18" t="str">
        <f t="shared" si="25"/>
        <v/>
      </c>
      <c r="J187" s="18" t="str">
        <f t="shared" si="26"/>
        <v/>
      </c>
      <c r="K187" s="19" t="str">
        <f t="shared" si="24"/>
        <v/>
      </c>
      <c r="L187" s="19"/>
      <c r="M187" s="19"/>
      <c r="N187" s="19"/>
    </row>
    <row r="188" spans="1:14" customFormat="1">
      <c r="A188" s="20" t="str">
        <f>IF(BASE!B188=0,"",BASE!B188)</f>
        <v/>
      </c>
      <c r="B188" s="19" t="str">
        <f>IF(BASE!C188=0,"",BASE!C188)</f>
        <v/>
      </c>
      <c r="C188" s="19" t="str">
        <f>IF(BASE!D188=0,"",TRIM(BASE!D188))</f>
        <v/>
      </c>
      <c r="D188" s="21" t="str">
        <f>IFERROR(VLOOKUP(A188,AUX!A:B,2,0),"")</f>
        <v/>
      </c>
      <c r="E188" s="19" t="str">
        <f t="shared" si="20"/>
        <v/>
      </c>
      <c r="F188" s="19" t="str">
        <f t="shared" si="21"/>
        <v/>
      </c>
      <c r="G188" s="19" t="str">
        <f t="shared" si="22"/>
        <v/>
      </c>
      <c r="H188" s="19" t="str">
        <f t="shared" si="23"/>
        <v/>
      </c>
      <c r="I188" s="18" t="str">
        <f t="shared" si="25"/>
        <v/>
      </c>
      <c r="J188" s="18" t="str">
        <f t="shared" si="26"/>
        <v/>
      </c>
      <c r="K188" s="19" t="str">
        <f t="shared" si="24"/>
        <v/>
      </c>
      <c r="L188" s="19"/>
      <c r="M188" s="19"/>
      <c r="N188" s="19"/>
    </row>
    <row r="189" spans="1:14" customFormat="1">
      <c r="A189" s="20" t="str">
        <f>IF(BASE!B189=0,"",BASE!B189)</f>
        <v/>
      </c>
      <c r="B189" s="19" t="str">
        <f>IF(BASE!C189=0,"",BASE!C189)</f>
        <v/>
      </c>
      <c r="C189" s="19" t="str">
        <f>IF(BASE!D189=0,"",TRIM(BASE!D189))</f>
        <v/>
      </c>
      <c r="D189" s="21" t="str">
        <f>IFERROR(VLOOKUP(A189,AUX!A:B,2,0),"")</f>
        <v/>
      </c>
      <c r="E189" s="19" t="str">
        <f t="shared" si="20"/>
        <v/>
      </c>
      <c r="F189" s="19" t="str">
        <f t="shared" si="21"/>
        <v/>
      </c>
      <c r="G189" s="19" t="str">
        <f t="shared" si="22"/>
        <v/>
      </c>
      <c r="H189" s="19" t="str">
        <f t="shared" si="23"/>
        <v/>
      </c>
      <c r="I189" s="18" t="str">
        <f t="shared" si="25"/>
        <v/>
      </c>
      <c r="J189" s="18" t="str">
        <f t="shared" si="26"/>
        <v/>
      </c>
      <c r="K189" s="19" t="str">
        <f t="shared" si="24"/>
        <v/>
      </c>
      <c r="L189" s="19"/>
      <c r="M189" s="19"/>
      <c r="N189" s="19"/>
    </row>
    <row r="190" spans="1:14" customFormat="1">
      <c r="A190" s="20" t="str">
        <f>IF(BASE!B190=0,"",BASE!B190)</f>
        <v/>
      </c>
      <c r="B190" s="19" t="str">
        <f>IF(BASE!C190=0,"",BASE!C190)</f>
        <v/>
      </c>
      <c r="C190" s="19" t="str">
        <f>IF(BASE!D190=0,"",TRIM(BASE!D190))</f>
        <v/>
      </c>
      <c r="D190" s="21" t="str">
        <f>IFERROR(VLOOKUP(A190,AUX!A:B,2,0),"")</f>
        <v/>
      </c>
      <c r="E190" s="19" t="str">
        <f t="shared" si="20"/>
        <v/>
      </c>
      <c r="F190" s="19" t="str">
        <f t="shared" si="21"/>
        <v/>
      </c>
      <c r="G190" s="19" t="str">
        <f t="shared" si="22"/>
        <v/>
      </c>
      <c r="H190" s="19" t="str">
        <f t="shared" si="23"/>
        <v/>
      </c>
      <c r="I190" s="18" t="str">
        <f t="shared" si="25"/>
        <v/>
      </c>
      <c r="J190" s="18" t="str">
        <f t="shared" si="26"/>
        <v/>
      </c>
      <c r="K190" s="19" t="str">
        <f t="shared" si="24"/>
        <v/>
      </c>
      <c r="L190" s="19"/>
      <c r="M190" s="19"/>
      <c r="N190" s="19"/>
    </row>
    <row r="191" spans="1:14" customFormat="1">
      <c r="A191" s="20" t="str">
        <f>IF(BASE!B191=0,"",BASE!B191)</f>
        <v/>
      </c>
      <c r="B191" s="19" t="str">
        <f>IF(BASE!C191=0,"",BASE!C191)</f>
        <v/>
      </c>
      <c r="C191" s="19" t="str">
        <f>IF(BASE!D191=0,"",TRIM(BASE!D191))</f>
        <v/>
      </c>
      <c r="D191" s="21" t="str">
        <f>IFERROR(VLOOKUP(A191,AUX!A:B,2,0),"")</f>
        <v/>
      </c>
      <c r="E191" s="19" t="str">
        <f t="shared" si="20"/>
        <v/>
      </c>
      <c r="F191" s="19" t="str">
        <f t="shared" si="21"/>
        <v/>
      </c>
      <c r="G191" s="19" t="str">
        <f t="shared" si="22"/>
        <v/>
      </c>
      <c r="H191" s="19" t="str">
        <f t="shared" si="23"/>
        <v/>
      </c>
      <c r="I191" s="18" t="str">
        <f t="shared" si="25"/>
        <v/>
      </c>
      <c r="J191" s="18" t="str">
        <f t="shared" si="26"/>
        <v/>
      </c>
      <c r="K191" s="19" t="str">
        <f t="shared" si="24"/>
        <v/>
      </c>
      <c r="L191" s="19"/>
      <c r="M191" s="19"/>
      <c r="N191" s="19"/>
    </row>
    <row r="192" spans="1:14" customFormat="1">
      <c r="A192" s="20" t="str">
        <f>IF(BASE!B192=0,"",BASE!B192)</f>
        <v/>
      </c>
      <c r="B192" s="19" t="str">
        <f>IF(BASE!C192=0,"",BASE!C192)</f>
        <v/>
      </c>
      <c r="C192" s="19" t="str">
        <f>IF(BASE!D192=0,"",TRIM(BASE!D192))</f>
        <v/>
      </c>
      <c r="D192" s="21" t="str">
        <f>IFERROR(VLOOKUP(A192,AUX!A:B,2,0),"")</f>
        <v/>
      </c>
      <c r="E192" s="19" t="str">
        <f t="shared" si="20"/>
        <v/>
      </c>
      <c r="F192" s="19" t="str">
        <f t="shared" si="21"/>
        <v/>
      </c>
      <c r="G192" s="19" t="str">
        <f t="shared" si="22"/>
        <v/>
      </c>
      <c r="H192" s="19" t="str">
        <f t="shared" si="23"/>
        <v/>
      </c>
      <c r="I192" s="18" t="str">
        <f t="shared" si="25"/>
        <v/>
      </c>
      <c r="J192" s="18" t="str">
        <f t="shared" si="26"/>
        <v/>
      </c>
      <c r="K192" s="19" t="str">
        <f t="shared" si="24"/>
        <v/>
      </c>
      <c r="L192" s="19"/>
      <c r="M192" s="19"/>
      <c r="N192" s="19"/>
    </row>
    <row r="193" spans="1:14" customFormat="1">
      <c r="A193" s="20" t="str">
        <f>IF(BASE!B193=0,"",BASE!B193)</f>
        <v/>
      </c>
      <c r="B193" s="19" t="str">
        <f>IF(BASE!C193=0,"",BASE!C193)</f>
        <v/>
      </c>
      <c r="C193" s="19" t="str">
        <f>IF(BASE!D193=0,"",TRIM(BASE!D193))</f>
        <v/>
      </c>
      <c r="D193" s="21" t="str">
        <f>IFERROR(VLOOKUP(A193,AUX!A:B,2,0),"")</f>
        <v/>
      </c>
      <c r="E193" s="19" t="str">
        <f t="shared" si="20"/>
        <v/>
      </c>
      <c r="F193" s="19" t="str">
        <f t="shared" si="21"/>
        <v/>
      </c>
      <c r="G193" s="19" t="str">
        <f t="shared" si="22"/>
        <v/>
      </c>
      <c r="H193" s="19" t="str">
        <f t="shared" si="23"/>
        <v/>
      </c>
      <c r="I193" s="18" t="str">
        <f t="shared" si="25"/>
        <v/>
      </c>
      <c r="J193" s="18" t="str">
        <f t="shared" si="26"/>
        <v/>
      </c>
      <c r="K193" s="19" t="str">
        <f t="shared" si="24"/>
        <v/>
      </c>
      <c r="L193" s="19"/>
      <c r="M193" s="19"/>
      <c r="N193" s="19"/>
    </row>
    <row r="194" spans="1:14" customFormat="1">
      <c r="A194" s="20" t="str">
        <f>IF(BASE!B194=0,"",BASE!B194)</f>
        <v/>
      </c>
      <c r="B194" s="19" t="str">
        <f>IF(BASE!C194=0,"",BASE!C194)</f>
        <v/>
      </c>
      <c r="C194" s="19" t="str">
        <f>IF(BASE!D194=0,"",TRIM(BASE!D194))</f>
        <v/>
      </c>
      <c r="D194" s="21" t="str">
        <f>IFERROR(VLOOKUP(A194,AUX!A:B,2,0),"")</f>
        <v/>
      </c>
      <c r="E194" s="19" t="str">
        <f t="shared" si="20"/>
        <v/>
      </c>
      <c r="F194" s="19" t="str">
        <f t="shared" si="21"/>
        <v/>
      </c>
      <c r="G194" s="19" t="str">
        <f t="shared" si="22"/>
        <v/>
      </c>
      <c r="H194" s="19" t="str">
        <f t="shared" si="23"/>
        <v/>
      </c>
      <c r="I194" s="18" t="str">
        <f t="shared" si="25"/>
        <v/>
      </c>
      <c r="J194" s="18" t="str">
        <f t="shared" si="26"/>
        <v/>
      </c>
      <c r="K194" s="19" t="str">
        <f t="shared" si="24"/>
        <v/>
      </c>
      <c r="L194" s="19"/>
      <c r="M194" s="19"/>
      <c r="N194" s="19"/>
    </row>
    <row r="195" spans="1:14" customFormat="1">
      <c r="A195" s="20" t="str">
        <f>IF(BASE!B195=0,"",BASE!B195)</f>
        <v/>
      </c>
      <c r="B195" s="19" t="str">
        <f>IF(BASE!C195=0,"",BASE!C195)</f>
        <v/>
      </c>
      <c r="C195" s="19" t="str">
        <f>IF(BASE!D195=0,"",TRIM(BASE!D195))</f>
        <v/>
      </c>
      <c r="D195" s="21" t="str">
        <f>IFERROR(VLOOKUP(A195,AUX!A:B,2,0),"")</f>
        <v/>
      </c>
      <c r="E195" s="19" t="str">
        <f t="shared" ref="E195:E258" si="27">RIGHT(LEFT(TRIM(C195),3),2)</f>
        <v/>
      </c>
      <c r="F195" s="19" t="str">
        <f t="shared" ref="F195:F258" si="28">TRIM(RIGHT(TRIM(C195),11))</f>
        <v/>
      </c>
      <c r="G195" s="19" t="str">
        <f t="shared" ref="G195:G258" si="29">TRIM(LEFT(F195,5))</f>
        <v/>
      </c>
      <c r="H195" s="19" t="str">
        <f t="shared" ref="H195:H258" si="30">RIGHT(TRIM(F195),5)</f>
        <v/>
      </c>
      <c r="I195" s="18" t="str">
        <f t="shared" si="25"/>
        <v/>
      </c>
      <c r="J195" s="18" t="str">
        <f t="shared" si="26"/>
        <v/>
      </c>
      <c r="K195" s="19" t="str">
        <f t="shared" ref="K195:K258" si="31">IF(A195="","","Prezado (a), "&amp;J195&amp;"
Devido a um imprevisto no voo do médico, o horário do seu procedimento precisou ser alterado para "&amp;TEXT(D195,"HH:MM")&amp;".
Pedimos, por gentileza, que chegue com 15 minutos de antecedência.
Pedimos desculpas pelo transtorno, agradecemos a compreensão e permanecemos à disposição para qualquer dúvida.
Atenciosamente,
Centro de Oftalmologia Brasil")</f>
        <v/>
      </c>
      <c r="L195" s="19"/>
      <c r="M195" s="19"/>
      <c r="N195" s="19"/>
    </row>
    <row r="196" spans="1:14" customFormat="1">
      <c r="A196" s="20" t="str">
        <f>IF(BASE!B196=0,"",BASE!B196)</f>
        <v/>
      </c>
      <c r="B196" s="19" t="str">
        <f>IF(BASE!C196=0,"",BASE!C196)</f>
        <v/>
      </c>
      <c r="C196" s="19" t="str">
        <f>IF(BASE!D196=0,"",TRIM(BASE!D196))</f>
        <v/>
      </c>
      <c r="D196" s="21" t="str">
        <f>IFERROR(VLOOKUP(A196,AUX!A:B,2,0),"")</f>
        <v/>
      </c>
      <c r="E196" s="19" t="str">
        <f t="shared" si="27"/>
        <v/>
      </c>
      <c r="F196" s="19" t="str">
        <f t="shared" si="28"/>
        <v/>
      </c>
      <c r="G196" s="19" t="str">
        <f t="shared" si="29"/>
        <v/>
      </c>
      <c r="H196" s="19" t="str">
        <f t="shared" si="30"/>
        <v/>
      </c>
      <c r="I196" s="18" t="str">
        <f t="shared" si="25"/>
        <v/>
      </c>
      <c r="J196" s="18" t="str">
        <f t="shared" si="26"/>
        <v/>
      </c>
      <c r="K196" s="19" t="str">
        <f t="shared" si="31"/>
        <v/>
      </c>
      <c r="L196" s="19"/>
      <c r="M196" s="19"/>
      <c r="N196" s="19"/>
    </row>
    <row r="197" spans="1:14" customFormat="1">
      <c r="A197" s="20" t="str">
        <f>IF(BASE!B197=0,"",BASE!B197)</f>
        <v/>
      </c>
      <c r="B197" s="19" t="str">
        <f>IF(BASE!C197=0,"",BASE!C197)</f>
        <v/>
      </c>
      <c r="C197" s="19" t="str">
        <f>IF(BASE!D197=0,"",TRIM(BASE!D197))</f>
        <v/>
      </c>
      <c r="D197" s="21" t="str">
        <f>IFERROR(VLOOKUP(A197,AUX!A:B,2,0),"")</f>
        <v/>
      </c>
      <c r="E197" s="19" t="str">
        <f t="shared" si="27"/>
        <v/>
      </c>
      <c r="F197" s="19" t="str">
        <f t="shared" si="28"/>
        <v/>
      </c>
      <c r="G197" s="19" t="str">
        <f t="shared" si="29"/>
        <v/>
      </c>
      <c r="H197" s="19" t="str">
        <f t="shared" si="30"/>
        <v/>
      </c>
      <c r="I197" s="18" t="str">
        <f t="shared" si="25"/>
        <v/>
      </c>
      <c r="J197" s="18" t="str">
        <f t="shared" si="26"/>
        <v/>
      </c>
      <c r="K197" s="19" t="str">
        <f t="shared" si="31"/>
        <v/>
      </c>
      <c r="L197" s="19"/>
      <c r="M197" s="19"/>
      <c r="N197" s="19"/>
    </row>
    <row r="198" spans="1:14" customFormat="1">
      <c r="A198" s="20" t="str">
        <f>IF(BASE!B198=0,"",BASE!B198)</f>
        <v/>
      </c>
      <c r="B198" s="19" t="str">
        <f>IF(BASE!C198=0,"",BASE!C198)</f>
        <v/>
      </c>
      <c r="C198" s="19" t="str">
        <f>IF(BASE!D198=0,"",TRIM(BASE!D198))</f>
        <v/>
      </c>
      <c r="D198" s="21" t="str">
        <f>IFERROR(VLOOKUP(A198,AUX!A:B,2,0),"")</f>
        <v/>
      </c>
      <c r="E198" s="19" t="str">
        <f t="shared" si="27"/>
        <v/>
      </c>
      <c r="F198" s="19" t="str">
        <f t="shared" si="28"/>
        <v/>
      </c>
      <c r="G198" s="19" t="str">
        <f t="shared" si="29"/>
        <v/>
      </c>
      <c r="H198" s="19" t="str">
        <f t="shared" si="30"/>
        <v/>
      </c>
      <c r="I198" s="18" t="str">
        <f t="shared" si="25"/>
        <v/>
      </c>
      <c r="J198" s="18" t="str">
        <f t="shared" si="26"/>
        <v/>
      </c>
      <c r="K198" s="19" t="str">
        <f t="shared" si="31"/>
        <v/>
      </c>
      <c r="L198" s="19"/>
      <c r="M198" s="19"/>
      <c r="N198" s="19"/>
    </row>
    <row r="199" spans="1:14" customFormat="1">
      <c r="A199" s="20" t="str">
        <f>IF(BASE!B199=0,"",BASE!B199)</f>
        <v/>
      </c>
      <c r="B199" s="19" t="str">
        <f>IF(BASE!C199=0,"",BASE!C199)</f>
        <v/>
      </c>
      <c r="C199" s="19" t="str">
        <f>IF(BASE!D199=0,"",TRIM(BASE!D199))</f>
        <v/>
      </c>
      <c r="D199" s="21" t="str">
        <f>IFERROR(VLOOKUP(A199,AUX!A:B,2,0),"")</f>
        <v/>
      </c>
      <c r="E199" s="19" t="str">
        <f t="shared" si="27"/>
        <v/>
      </c>
      <c r="F199" s="19" t="str">
        <f t="shared" si="28"/>
        <v/>
      </c>
      <c r="G199" s="19" t="str">
        <f t="shared" si="29"/>
        <v/>
      </c>
      <c r="H199" s="19" t="str">
        <f t="shared" si="30"/>
        <v/>
      </c>
      <c r="I199" s="18" t="str">
        <f t="shared" si="25"/>
        <v/>
      </c>
      <c r="J199" s="18" t="str">
        <f t="shared" si="26"/>
        <v/>
      </c>
      <c r="K199" s="19" t="str">
        <f t="shared" si="31"/>
        <v/>
      </c>
      <c r="L199" s="19"/>
      <c r="M199" s="19"/>
      <c r="N199" s="19"/>
    </row>
    <row r="200" spans="1:14" customFormat="1">
      <c r="A200" s="20" t="str">
        <f>IF(BASE!B200=0,"",BASE!B200)</f>
        <v/>
      </c>
      <c r="B200" s="19" t="str">
        <f>IF(BASE!C200=0,"",BASE!C200)</f>
        <v/>
      </c>
      <c r="C200" s="19" t="str">
        <f>IF(BASE!D200=0,"",TRIM(BASE!D200))</f>
        <v/>
      </c>
      <c r="D200" s="21" t="str">
        <f>IFERROR(VLOOKUP(A200,AUX!A:B,2,0),"")</f>
        <v/>
      </c>
      <c r="E200" s="19" t="str">
        <f t="shared" si="27"/>
        <v/>
      </c>
      <c r="F200" s="19" t="str">
        <f t="shared" si="28"/>
        <v/>
      </c>
      <c r="G200" s="19" t="str">
        <f t="shared" si="29"/>
        <v/>
      </c>
      <c r="H200" s="19" t="str">
        <f t="shared" si="30"/>
        <v/>
      </c>
      <c r="I200" s="18" t="str">
        <f t="shared" si="25"/>
        <v/>
      </c>
      <c r="J200" s="18" t="str">
        <f t="shared" si="26"/>
        <v/>
      </c>
      <c r="K200" s="19" t="str">
        <f t="shared" si="31"/>
        <v/>
      </c>
      <c r="L200" s="19"/>
      <c r="M200" s="19"/>
      <c r="N200" s="19"/>
    </row>
    <row r="201" spans="1:14" customFormat="1">
      <c r="A201" s="20" t="str">
        <f>IF(BASE!B201=0,"",BASE!B201)</f>
        <v/>
      </c>
      <c r="B201" s="19" t="str">
        <f>IF(BASE!C201=0,"",BASE!C201)</f>
        <v/>
      </c>
      <c r="C201" s="19" t="str">
        <f>IF(BASE!D201=0,"",TRIM(BASE!D201))</f>
        <v/>
      </c>
      <c r="D201" s="21" t="str">
        <f>IFERROR(VLOOKUP(A201,AUX!A:B,2,0),"")</f>
        <v/>
      </c>
      <c r="E201" s="19" t="str">
        <f t="shared" si="27"/>
        <v/>
      </c>
      <c r="F201" s="19" t="str">
        <f t="shared" si="28"/>
        <v/>
      </c>
      <c r="G201" s="19" t="str">
        <f t="shared" si="29"/>
        <v/>
      </c>
      <c r="H201" s="19" t="str">
        <f t="shared" si="30"/>
        <v/>
      </c>
      <c r="I201" s="18" t="str">
        <f t="shared" si="25"/>
        <v/>
      </c>
      <c r="J201" s="18" t="str">
        <f t="shared" si="26"/>
        <v/>
      </c>
      <c r="K201" s="19" t="str">
        <f t="shared" si="31"/>
        <v/>
      </c>
      <c r="L201" s="19"/>
      <c r="M201" s="19"/>
      <c r="N201" s="19"/>
    </row>
    <row r="202" spans="1:14" customFormat="1">
      <c r="A202" s="20" t="str">
        <f>IF(BASE!B202=0,"",BASE!B202)</f>
        <v/>
      </c>
      <c r="B202" s="19" t="str">
        <f>IF(BASE!C202=0,"",BASE!C202)</f>
        <v/>
      </c>
      <c r="C202" s="19" t="str">
        <f>IF(BASE!D202=0,"",TRIM(BASE!D202))</f>
        <v/>
      </c>
      <c r="D202" s="21" t="str">
        <f>IFERROR(VLOOKUP(A202,AUX!A:B,2,0),"")</f>
        <v/>
      </c>
      <c r="E202" s="19" t="str">
        <f t="shared" si="27"/>
        <v/>
      </c>
      <c r="F202" s="19" t="str">
        <f t="shared" si="28"/>
        <v/>
      </c>
      <c r="G202" s="19" t="str">
        <f t="shared" si="29"/>
        <v/>
      </c>
      <c r="H202" s="19" t="str">
        <f t="shared" si="30"/>
        <v/>
      </c>
      <c r="I202" s="18" t="str">
        <f t="shared" si="25"/>
        <v/>
      </c>
      <c r="J202" s="18" t="str">
        <f t="shared" si="26"/>
        <v/>
      </c>
      <c r="K202" s="19" t="str">
        <f t="shared" si="31"/>
        <v/>
      </c>
      <c r="L202" s="19"/>
      <c r="M202" s="19"/>
      <c r="N202" s="19"/>
    </row>
    <row r="203" spans="1:14" customFormat="1">
      <c r="A203" s="20" t="str">
        <f>IF(BASE!B203=0,"",BASE!B203)</f>
        <v/>
      </c>
      <c r="B203" s="19" t="str">
        <f>IF(BASE!C203=0,"",BASE!C203)</f>
        <v/>
      </c>
      <c r="C203" s="19" t="str">
        <f>IF(BASE!D203=0,"",TRIM(BASE!D203))</f>
        <v/>
      </c>
      <c r="D203" s="21" t="str">
        <f>IFERROR(VLOOKUP(A203,AUX!A:B,2,0),"")</f>
        <v/>
      </c>
      <c r="E203" s="19" t="str">
        <f t="shared" si="27"/>
        <v/>
      </c>
      <c r="F203" s="19" t="str">
        <f t="shared" si="28"/>
        <v/>
      </c>
      <c r="G203" s="19" t="str">
        <f t="shared" si="29"/>
        <v/>
      </c>
      <c r="H203" s="19" t="str">
        <f t="shared" si="30"/>
        <v/>
      </c>
      <c r="I203" s="18" t="str">
        <f t="shared" si="25"/>
        <v/>
      </c>
      <c r="J203" s="18" t="str">
        <f t="shared" si="26"/>
        <v/>
      </c>
      <c r="K203" s="19" t="str">
        <f t="shared" si="31"/>
        <v/>
      </c>
      <c r="L203" s="19"/>
      <c r="M203" s="19"/>
      <c r="N203" s="19"/>
    </row>
    <row r="204" spans="1:14" customFormat="1">
      <c r="A204" s="20" t="str">
        <f>IF(BASE!B204=0,"",BASE!B204)</f>
        <v/>
      </c>
      <c r="B204" s="19" t="str">
        <f>IF(BASE!C204=0,"",BASE!C204)</f>
        <v/>
      </c>
      <c r="C204" s="19" t="str">
        <f>IF(BASE!D204=0,"",TRIM(BASE!D204))</f>
        <v/>
      </c>
      <c r="D204" s="21" t="str">
        <f>IFERROR(VLOOKUP(A204,AUX!A:B,2,0),"")</f>
        <v/>
      </c>
      <c r="E204" s="19" t="str">
        <f t="shared" si="27"/>
        <v/>
      </c>
      <c r="F204" s="19" t="str">
        <f t="shared" si="28"/>
        <v/>
      </c>
      <c r="G204" s="19" t="str">
        <f t="shared" si="29"/>
        <v/>
      </c>
      <c r="H204" s="19" t="str">
        <f t="shared" si="30"/>
        <v/>
      </c>
      <c r="I204" s="18" t="str">
        <f t="shared" si="25"/>
        <v/>
      </c>
      <c r="J204" s="18" t="str">
        <f t="shared" si="26"/>
        <v/>
      </c>
      <c r="K204" s="19" t="str">
        <f t="shared" si="31"/>
        <v/>
      </c>
      <c r="L204" s="19"/>
      <c r="M204" s="19"/>
      <c r="N204" s="19"/>
    </row>
    <row r="205" spans="1:14" customFormat="1">
      <c r="A205" s="20" t="str">
        <f>IF(BASE!B205=0,"",BASE!B205)</f>
        <v/>
      </c>
      <c r="B205" s="19" t="str">
        <f>IF(BASE!C205=0,"",BASE!C205)</f>
        <v/>
      </c>
      <c r="C205" s="19" t="str">
        <f>IF(BASE!D205=0,"",TRIM(BASE!D205))</f>
        <v/>
      </c>
      <c r="D205" s="21" t="str">
        <f>IFERROR(VLOOKUP(A205,AUX!A:B,2,0),"")</f>
        <v/>
      </c>
      <c r="E205" s="19" t="str">
        <f t="shared" si="27"/>
        <v/>
      </c>
      <c r="F205" s="19" t="str">
        <f t="shared" si="28"/>
        <v/>
      </c>
      <c r="G205" s="19" t="str">
        <f t="shared" si="29"/>
        <v/>
      </c>
      <c r="H205" s="19" t="str">
        <f t="shared" si="30"/>
        <v/>
      </c>
      <c r="I205" s="18" t="str">
        <f t="shared" si="25"/>
        <v/>
      </c>
      <c r="J205" s="18" t="str">
        <f t="shared" si="26"/>
        <v/>
      </c>
      <c r="K205" s="19" t="str">
        <f t="shared" si="31"/>
        <v/>
      </c>
      <c r="L205" s="19"/>
      <c r="M205" s="19"/>
      <c r="N205" s="19"/>
    </row>
    <row r="206" spans="1:14" customFormat="1">
      <c r="A206" s="20" t="str">
        <f>IF(BASE!B206=0,"",BASE!B206)</f>
        <v/>
      </c>
      <c r="B206" s="19" t="str">
        <f>IF(BASE!C206=0,"",BASE!C206)</f>
        <v/>
      </c>
      <c r="C206" s="19" t="str">
        <f>IF(BASE!D206=0,"",TRIM(BASE!D206))</f>
        <v/>
      </c>
      <c r="D206" s="21" t="str">
        <f>IFERROR(VLOOKUP(A206,AUX!A:B,2,0),"")</f>
        <v/>
      </c>
      <c r="E206" s="19" t="str">
        <f t="shared" si="27"/>
        <v/>
      </c>
      <c r="F206" s="19" t="str">
        <f t="shared" si="28"/>
        <v/>
      </c>
      <c r="G206" s="19" t="str">
        <f t="shared" si="29"/>
        <v/>
      </c>
      <c r="H206" s="19" t="str">
        <f t="shared" si="30"/>
        <v/>
      </c>
      <c r="I206" s="18" t="str">
        <f t="shared" si="25"/>
        <v/>
      </c>
      <c r="J206" s="18" t="str">
        <f t="shared" si="26"/>
        <v/>
      </c>
      <c r="K206" s="19" t="str">
        <f t="shared" si="31"/>
        <v/>
      </c>
      <c r="L206" s="19"/>
      <c r="M206" s="19"/>
      <c r="N206" s="19"/>
    </row>
    <row r="207" spans="1:14" customFormat="1">
      <c r="A207" s="20" t="str">
        <f>IF(BASE!B207=0,"",BASE!B207)</f>
        <v/>
      </c>
      <c r="B207" s="19" t="str">
        <f>IF(BASE!C207=0,"",BASE!C207)</f>
        <v/>
      </c>
      <c r="C207" s="19" t="str">
        <f>IF(BASE!D207=0,"",TRIM(BASE!D207))</f>
        <v/>
      </c>
      <c r="D207" s="21" t="str">
        <f>IFERROR(VLOOKUP(A207,AUX!A:B,2,0),"")</f>
        <v/>
      </c>
      <c r="E207" s="19" t="str">
        <f t="shared" si="27"/>
        <v/>
      </c>
      <c r="F207" s="19" t="str">
        <f t="shared" si="28"/>
        <v/>
      </c>
      <c r="G207" s="19" t="str">
        <f t="shared" si="29"/>
        <v/>
      </c>
      <c r="H207" s="19" t="str">
        <f t="shared" si="30"/>
        <v/>
      </c>
      <c r="I207" s="18" t="str">
        <f t="shared" si="25"/>
        <v/>
      </c>
      <c r="J207" s="18" t="str">
        <f t="shared" si="26"/>
        <v/>
      </c>
      <c r="K207" s="19" t="str">
        <f t="shared" si="31"/>
        <v/>
      </c>
      <c r="L207" s="19"/>
      <c r="M207" s="19"/>
      <c r="N207" s="19"/>
    </row>
    <row r="208" spans="1:14" customFormat="1">
      <c r="A208" s="20" t="str">
        <f>IF(BASE!B208=0,"",BASE!B208)</f>
        <v/>
      </c>
      <c r="B208" s="19" t="str">
        <f>IF(BASE!C208=0,"",BASE!C208)</f>
        <v/>
      </c>
      <c r="C208" s="19" t="str">
        <f>IF(BASE!D208=0,"",TRIM(BASE!D208))</f>
        <v/>
      </c>
      <c r="D208" s="21" t="str">
        <f>IFERROR(VLOOKUP(A208,AUX!A:B,2,0),"")</f>
        <v/>
      </c>
      <c r="E208" s="19" t="str">
        <f t="shared" si="27"/>
        <v/>
      </c>
      <c r="F208" s="19" t="str">
        <f t="shared" si="28"/>
        <v/>
      </c>
      <c r="G208" s="19" t="str">
        <f t="shared" si="29"/>
        <v/>
      </c>
      <c r="H208" s="19" t="str">
        <f t="shared" si="30"/>
        <v/>
      </c>
      <c r="I208" s="18" t="str">
        <f t="shared" si="25"/>
        <v/>
      </c>
      <c r="J208" s="18" t="str">
        <f t="shared" si="26"/>
        <v/>
      </c>
      <c r="K208" s="19" t="str">
        <f t="shared" si="31"/>
        <v/>
      </c>
      <c r="L208" s="19"/>
      <c r="M208" s="19"/>
      <c r="N208" s="19"/>
    </row>
    <row r="209" spans="1:14" customFormat="1">
      <c r="A209" s="20" t="str">
        <f>IF(BASE!B209=0,"",BASE!B209)</f>
        <v/>
      </c>
      <c r="B209" s="19" t="str">
        <f>IF(BASE!C209=0,"",BASE!C209)</f>
        <v/>
      </c>
      <c r="C209" s="19" t="str">
        <f>IF(BASE!D209=0,"",TRIM(BASE!D209))</f>
        <v/>
      </c>
      <c r="D209" s="21" t="str">
        <f>IFERROR(VLOOKUP(A209,AUX!A:B,2,0),"")</f>
        <v/>
      </c>
      <c r="E209" s="19" t="str">
        <f t="shared" si="27"/>
        <v/>
      </c>
      <c r="F209" s="19" t="str">
        <f t="shared" si="28"/>
        <v/>
      </c>
      <c r="G209" s="19" t="str">
        <f t="shared" si="29"/>
        <v/>
      </c>
      <c r="H209" s="19" t="str">
        <f t="shared" si="30"/>
        <v/>
      </c>
      <c r="I209" s="18" t="str">
        <f t="shared" si="25"/>
        <v/>
      </c>
      <c r="J209" s="18" t="str">
        <f t="shared" si="26"/>
        <v/>
      </c>
      <c r="K209" s="19" t="str">
        <f t="shared" si="31"/>
        <v/>
      </c>
      <c r="L209" s="19"/>
      <c r="M209" s="19"/>
      <c r="N209" s="19"/>
    </row>
    <row r="210" spans="1:14" customFormat="1">
      <c r="A210" s="20" t="str">
        <f>IF(BASE!B210=0,"",BASE!B210)</f>
        <v/>
      </c>
      <c r="B210" s="19" t="str">
        <f>IF(BASE!C210=0,"",BASE!C210)</f>
        <v/>
      </c>
      <c r="C210" s="19" t="str">
        <f>IF(BASE!D210=0,"",TRIM(BASE!D210))</f>
        <v/>
      </c>
      <c r="D210" s="21" t="str">
        <f>IFERROR(VLOOKUP(A210,AUX!A:B,2,0),"")</f>
        <v/>
      </c>
      <c r="E210" s="19" t="str">
        <f t="shared" si="27"/>
        <v/>
      </c>
      <c r="F210" s="19" t="str">
        <f t="shared" si="28"/>
        <v/>
      </c>
      <c r="G210" s="19" t="str">
        <f t="shared" si="29"/>
        <v/>
      </c>
      <c r="H210" s="19" t="str">
        <f t="shared" si="30"/>
        <v/>
      </c>
      <c r="I210" s="18" t="str">
        <f t="shared" si="25"/>
        <v/>
      </c>
      <c r="J210" s="18" t="str">
        <f t="shared" si="26"/>
        <v/>
      </c>
      <c r="K210" s="19" t="str">
        <f t="shared" si="31"/>
        <v/>
      </c>
      <c r="L210" s="19"/>
      <c r="M210" s="19"/>
      <c r="N210" s="19"/>
    </row>
    <row r="211" spans="1:14" customFormat="1">
      <c r="A211" s="20" t="str">
        <f>IF(BASE!B211=0,"",BASE!B211)</f>
        <v/>
      </c>
      <c r="B211" s="19" t="str">
        <f>IF(BASE!C211=0,"",BASE!C211)</f>
        <v/>
      </c>
      <c r="C211" s="19" t="str">
        <f>IF(BASE!D211=0,"",TRIM(BASE!D211))</f>
        <v/>
      </c>
      <c r="D211" s="21" t="str">
        <f>IFERROR(VLOOKUP(A211,AUX!A:B,2,0),"")</f>
        <v/>
      </c>
      <c r="E211" s="19" t="str">
        <f t="shared" si="27"/>
        <v/>
      </c>
      <c r="F211" s="19" t="str">
        <f t="shared" si="28"/>
        <v/>
      </c>
      <c r="G211" s="19" t="str">
        <f t="shared" si="29"/>
        <v/>
      </c>
      <c r="H211" s="19" t="str">
        <f t="shared" si="30"/>
        <v/>
      </c>
      <c r="I211" s="18" t="str">
        <f t="shared" si="25"/>
        <v/>
      </c>
      <c r="J211" s="18" t="str">
        <f t="shared" si="26"/>
        <v/>
      </c>
      <c r="K211" s="19" t="str">
        <f t="shared" si="31"/>
        <v/>
      </c>
      <c r="L211" s="19"/>
      <c r="M211" s="19"/>
      <c r="N211" s="19"/>
    </row>
    <row r="212" spans="1:14" customFormat="1">
      <c r="A212" s="20" t="str">
        <f>IF(BASE!B212=0,"",BASE!B212)</f>
        <v/>
      </c>
      <c r="B212" s="19" t="str">
        <f>IF(BASE!C212=0,"",BASE!C212)</f>
        <v/>
      </c>
      <c r="C212" s="19" t="str">
        <f>IF(BASE!D212=0,"",TRIM(BASE!D212))</f>
        <v/>
      </c>
      <c r="D212" s="21" t="str">
        <f>IFERROR(VLOOKUP(A212,AUX!A:B,2,0),"")</f>
        <v/>
      </c>
      <c r="E212" s="19" t="str">
        <f t="shared" si="27"/>
        <v/>
      </c>
      <c r="F212" s="19" t="str">
        <f t="shared" si="28"/>
        <v/>
      </c>
      <c r="G212" s="19" t="str">
        <f t="shared" si="29"/>
        <v/>
      </c>
      <c r="H212" s="19" t="str">
        <f t="shared" si="30"/>
        <v/>
      </c>
      <c r="I212" s="18" t="str">
        <f t="shared" si="25"/>
        <v/>
      </c>
      <c r="J212" s="18" t="str">
        <f t="shared" si="26"/>
        <v/>
      </c>
      <c r="K212" s="19" t="str">
        <f t="shared" si="31"/>
        <v/>
      </c>
      <c r="L212" s="19"/>
      <c r="M212" s="19"/>
      <c r="N212" s="19"/>
    </row>
    <row r="213" spans="1:14" customFormat="1">
      <c r="A213" s="20" t="str">
        <f>IF(BASE!B213=0,"",BASE!B213)</f>
        <v/>
      </c>
      <c r="B213" s="19" t="str">
        <f>IF(BASE!C213=0,"",BASE!C213)</f>
        <v/>
      </c>
      <c r="C213" s="19" t="str">
        <f>IF(BASE!D213=0,"",TRIM(BASE!D213))</f>
        <v/>
      </c>
      <c r="D213" s="21" t="str">
        <f>IFERROR(VLOOKUP(A213,AUX!A:B,2,0),"")</f>
        <v/>
      </c>
      <c r="E213" s="19" t="str">
        <f t="shared" si="27"/>
        <v/>
      </c>
      <c r="F213" s="19" t="str">
        <f t="shared" si="28"/>
        <v/>
      </c>
      <c r="G213" s="19" t="str">
        <f t="shared" si="29"/>
        <v/>
      </c>
      <c r="H213" s="19" t="str">
        <f t="shared" si="30"/>
        <v/>
      </c>
      <c r="I213" s="18" t="str">
        <f t="shared" si="25"/>
        <v/>
      </c>
      <c r="J213" s="18" t="str">
        <f t="shared" si="26"/>
        <v/>
      </c>
      <c r="K213" s="19" t="str">
        <f t="shared" si="31"/>
        <v/>
      </c>
      <c r="L213" s="19"/>
      <c r="M213" s="19"/>
      <c r="N213" s="19"/>
    </row>
    <row r="214" spans="1:14" customFormat="1">
      <c r="A214" s="20" t="str">
        <f>IF(BASE!B214=0,"",BASE!B214)</f>
        <v/>
      </c>
      <c r="B214" s="19" t="str">
        <f>IF(BASE!C214=0,"",BASE!C214)</f>
        <v/>
      </c>
      <c r="C214" s="19" t="str">
        <f>IF(BASE!D214=0,"",TRIM(BASE!D214))</f>
        <v/>
      </c>
      <c r="D214" s="21" t="str">
        <f>IFERROR(VLOOKUP(A214,AUX!A:B,2,0),"")</f>
        <v/>
      </c>
      <c r="E214" s="19" t="str">
        <f t="shared" si="27"/>
        <v/>
      </c>
      <c r="F214" s="19" t="str">
        <f t="shared" si="28"/>
        <v/>
      </c>
      <c r="G214" s="19" t="str">
        <f t="shared" si="29"/>
        <v/>
      </c>
      <c r="H214" s="19" t="str">
        <f t="shared" si="30"/>
        <v/>
      </c>
      <c r="I214" s="18" t="str">
        <f t="shared" si="25"/>
        <v/>
      </c>
      <c r="J214" s="18" t="str">
        <f t="shared" si="26"/>
        <v/>
      </c>
      <c r="K214" s="19" t="str">
        <f t="shared" si="31"/>
        <v/>
      </c>
      <c r="L214" s="19"/>
      <c r="M214" s="19"/>
      <c r="N214" s="19"/>
    </row>
    <row r="215" spans="1:14" customFormat="1">
      <c r="A215" s="20" t="str">
        <f>IF(BASE!B215=0,"",BASE!B215)</f>
        <v/>
      </c>
      <c r="B215" s="19" t="str">
        <f>IF(BASE!C215=0,"",BASE!C215)</f>
        <v/>
      </c>
      <c r="C215" s="19" t="str">
        <f>IF(BASE!D215=0,"",TRIM(BASE!D215))</f>
        <v/>
      </c>
      <c r="D215" s="21" t="str">
        <f>IFERROR(VLOOKUP(A215,AUX!A:B,2,0),"")</f>
        <v/>
      </c>
      <c r="E215" s="19" t="str">
        <f t="shared" si="27"/>
        <v/>
      </c>
      <c r="F215" s="19" t="str">
        <f t="shared" si="28"/>
        <v/>
      </c>
      <c r="G215" s="19" t="str">
        <f t="shared" si="29"/>
        <v/>
      </c>
      <c r="H215" s="19" t="str">
        <f t="shared" si="30"/>
        <v/>
      </c>
      <c r="I215" s="18" t="str">
        <f t="shared" si="25"/>
        <v/>
      </c>
      <c r="J215" s="18" t="str">
        <f t="shared" si="26"/>
        <v/>
      </c>
      <c r="K215" s="19" t="str">
        <f t="shared" si="31"/>
        <v/>
      </c>
      <c r="L215" s="19"/>
      <c r="M215" s="19"/>
      <c r="N215" s="19"/>
    </row>
    <row r="216" spans="1:14" customFormat="1">
      <c r="A216" s="20" t="str">
        <f>IF(BASE!B216=0,"",BASE!B216)</f>
        <v/>
      </c>
      <c r="B216" s="19" t="str">
        <f>IF(BASE!C216=0,"",BASE!C216)</f>
        <v/>
      </c>
      <c r="C216" s="19" t="str">
        <f>IF(BASE!D216=0,"",TRIM(BASE!D216))</f>
        <v/>
      </c>
      <c r="D216" s="21" t="str">
        <f>IFERROR(VLOOKUP(A216,AUX!A:B,2,0),"")</f>
        <v/>
      </c>
      <c r="E216" s="19" t="str">
        <f t="shared" si="27"/>
        <v/>
      </c>
      <c r="F216" s="19" t="str">
        <f t="shared" si="28"/>
        <v/>
      </c>
      <c r="G216" s="19" t="str">
        <f t="shared" si="29"/>
        <v/>
      </c>
      <c r="H216" s="19" t="str">
        <f t="shared" si="30"/>
        <v/>
      </c>
      <c r="I216" s="18" t="str">
        <f t="shared" si="25"/>
        <v/>
      </c>
      <c r="J216" s="18" t="str">
        <f t="shared" si="26"/>
        <v/>
      </c>
      <c r="K216" s="19" t="str">
        <f t="shared" si="31"/>
        <v/>
      </c>
      <c r="L216" s="19"/>
      <c r="M216" s="19"/>
      <c r="N216" s="19"/>
    </row>
    <row r="217" spans="1:14" customFormat="1">
      <c r="A217" s="20" t="str">
        <f>IF(BASE!B217=0,"",BASE!B217)</f>
        <v/>
      </c>
      <c r="B217" s="19" t="str">
        <f>IF(BASE!C217=0,"",BASE!C217)</f>
        <v/>
      </c>
      <c r="C217" s="19" t="str">
        <f>IF(BASE!D217=0,"",TRIM(BASE!D217))</f>
        <v/>
      </c>
      <c r="D217" s="21" t="str">
        <f>IFERROR(VLOOKUP(A217,AUX!A:B,2,0),"")</f>
        <v/>
      </c>
      <c r="E217" s="19" t="str">
        <f t="shared" si="27"/>
        <v/>
      </c>
      <c r="F217" s="19" t="str">
        <f t="shared" si="28"/>
        <v/>
      </c>
      <c r="G217" s="19" t="str">
        <f t="shared" si="29"/>
        <v/>
      </c>
      <c r="H217" s="19" t="str">
        <f t="shared" si="30"/>
        <v/>
      </c>
      <c r="I217" s="18" t="str">
        <f t="shared" si="25"/>
        <v/>
      </c>
      <c r="J217" s="18" t="str">
        <f t="shared" si="26"/>
        <v/>
      </c>
      <c r="K217" s="19" t="str">
        <f t="shared" si="31"/>
        <v/>
      </c>
      <c r="L217" s="19"/>
      <c r="M217" s="19"/>
      <c r="N217" s="19"/>
    </row>
    <row r="218" spans="1:14" customFormat="1">
      <c r="A218" s="20" t="str">
        <f>IF(BASE!B218=0,"",BASE!B218)</f>
        <v/>
      </c>
      <c r="B218" s="19" t="str">
        <f>IF(BASE!C218=0,"",BASE!C218)</f>
        <v/>
      </c>
      <c r="C218" s="19" t="str">
        <f>IF(BASE!D218=0,"",TRIM(BASE!D218))</f>
        <v/>
      </c>
      <c r="D218" s="21" t="str">
        <f>IFERROR(VLOOKUP(A218,AUX!A:B,2,0),"")</f>
        <v/>
      </c>
      <c r="E218" s="19" t="str">
        <f t="shared" si="27"/>
        <v/>
      </c>
      <c r="F218" s="19" t="str">
        <f t="shared" si="28"/>
        <v/>
      </c>
      <c r="G218" s="19" t="str">
        <f t="shared" si="29"/>
        <v/>
      </c>
      <c r="H218" s="19" t="str">
        <f t="shared" si="30"/>
        <v/>
      </c>
      <c r="I218" s="18" t="str">
        <f t="shared" si="25"/>
        <v/>
      </c>
      <c r="J218" s="18" t="str">
        <f t="shared" si="26"/>
        <v/>
      </c>
      <c r="K218" s="19" t="str">
        <f t="shared" si="31"/>
        <v/>
      </c>
      <c r="L218" s="19"/>
      <c r="M218" s="19"/>
      <c r="N218" s="19"/>
    </row>
    <row r="219" spans="1:14" customFormat="1">
      <c r="A219" s="20" t="str">
        <f>IF(BASE!B219=0,"",BASE!B219)</f>
        <v/>
      </c>
      <c r="B219" s="19" t="str">
        <f>IF(BASE!C219=0,"",BASE!C219)</f>
        <v/>
      </c>
      <c r="C219" s="19" t="str">
        <f>IF(BASE!D219=0,"",TRIM(BASE!D219))</f>
        <v/>
      </c>
      <c r="D219" s="21" t="str">
        <f>IFERROR(VLOOKUP(A219,AUX!A:B,2,0),"")</f>
        <v/>
      </c>
      <c r="E219" s="19" t="str">
        <f t="shared" si="27"/>
        <v/>
      </c>
      <c r="F219" s="19" t="str">
        <f t="shared" si="28"/>
        <v/>
      </c>
      <c r="G219" s="19" t="str">
        <f t="shared" si="29"/>
        <v/>
      </c>
      <c r="H219" s="19" t="str">
        <f t="shared" si="30"/>
        <v/>
      </c>
      <c r="I219" s="18" t="str">
        <f t="shared" si="25"/>
        <v/>
      </c>
      <c r="J219" s="18" t="str">
        <f t="shared" si="26"/>
        <v/>
      </c>
      <c r="K219" s="19" t="str">
        <f t="shared" si="31"/>
        <v/>
      </c>
      <c r="L219" s="19"/>
      <c r="M219" s="19"/>
      <c r="N219" s="19"/>
    </row>
    <row r="220" spans="1:14" customFormat="1">
      <c r="A220" s="20" t="str">
        <f>IF(BASE!B220=0,"",BASE!B220)</f>
        <v/>
      </c>
      <c r="B220" s="19" t="str">
        <f>IF(BASE!C220=0,"",BASE!C220)</f>
        <v/>
      </c>
      <c r="C220" s="19" t="str">
        <f>IF(BASE!D220=0,"",TRIM(BASE!D220))</f>
        <v/>
      </c>
      <c r="D220" s="21" t="str">
        <f>IFERROR(VLOOKUP(A220,AUX!A:B,2,0),"")</f>
        <v/>
      </c>
      <c r="E220" s="19" t="str">
        <f t="shared" si="27"/>
        <v/>
      </c>
      <c r="F220" s="19" t="str">
        <f t="shared" si="28"/>
        <v/>
      </c>
      <c r="G220" s="19" t="str">
        <f t="shared" si="29"/>
        <v/>
      </c>
      <c r="H220" s="19" t="str">
        <f t="shared" si="30"/>
        <v/>
      </c>
      <c r="I220" s="18" t="str">
        <f t="shared" si="25"/>
        <v/>
      </c>
      <c r="J220" s="18" t="str">
        <f t="shared" si="26"/>
        <v/>
      </c>
      <c r="K220" s="19" t="str">
        <f t="shared" si="31"/>
        <v/>
      </c>
      <c r="L220" s="19"/>
      <c r="M220" s="19"/>
      <c r="N220" s="19"/>
    </row>
    <row r="221" spans="1:14" customFormat="1">
      <c r="A221" s="20" t="str">
        <f>IF(BASE!B221=0,"",BASE!B221)</f>
        <v/>
      </c>
      <c r="B221" s="19" t="str">
        <f>IF(BASE!C221=0,"",BASE!C221)</f>
        <v/>
      </c>
      <c r="C221" s="19" t="str">
        <f>IF(BASE!D221=0,"",TRIM(BASE!D221))</f>
        <v/>
      </c>
      <c r="D221" s="21" t="str">
        <f>IFERROR(VLOOKUP(A221,AUX!A:B,2,0),"")</f>
        <v/>
      </c>
      <c r="E221" s="19" t="str">
        <f t="shared" si="27"/>
        <v/>
      </c>
      <c r="F221" s="19" t="str">
        <f t="shared" si="28"/>
        <v/>
      </c>
      <c r="G221" s="19" t="str">
        <f t="shared" si="29"/>
        <v/>
      </c>
      <c r="H221" s="19" t="str">
        <f t="shared" si="30"/>
        <v/>
      </c>
      <c r="I221" s="18" t="str">
        <f t="shared" si="25"/>
        <v/>
      </c>
      <c r="J221" s="18" t="str">
        <f t="shared" si="26"/>
        <v/>
      </c>
      <c r="K221" s="19" t="str">
        <f t="shared" si="31"/>
        <v/>
      </c>
      <c r="L221" s="19"/>
      <c r="M221" s="19"/>
      <c r="N221" s="19"/>
    </row>
    <row r="222" spans="1:14" customFormat="1">
      <c r="A222" s="20" t="str">
        <f>IF(BASE!B222=0,"",BASE!B222)</f>
        <v/>
      </c>
      <c r="B222" s="19" t="str">
        <f>IF(BASE!C222=0,"",BASE!C222)</f>
        <v/>
      </c>
      <c r="C222" s="19" t="str">
        <f>IF(BASE!D222=0,"",TRIM(BASE!D222))</f>
        <v/>
      </c>
      <c r="D222" s="21" t="str">
        <f>IFERROR(VLOOKUP(A222,AUX!A:B,2,0),"")</f>
        <v/>
      </c>
      <c r="E222" s="19" t="str">
        <f t="shared" si="27"/>
        <v/>
      </c>
      <c r="F222" s="19" t="str">
        <f t="shared" si="28"/>
        <v/>
      </c>
      <c r="G222" s="19" t="str">
        <f t="shared" si="29"/>
        <v/>
      </c>
      <c r="H222" s="19" t="str">
        <f t="shared" si="30"/>
        <v/>
      </c>
      <c r="I222" s="18" t="str">
        <f t="shared" si="25"/>
        <v/>
      </c>
      <c r="J222" s="18" t="str">
        <f t="shared" si="26"/>
        <v/>
      </c>
      <c r="K222" s="19" t="str">
        <f t="shared" si="31"/>
        <v/>
      </c>
      <c r="L222" s="19"/>
      <c r="M222" s="19"/>
      <c r="N222" s="19"/>
    </row>
    <row r="223" spans="1:14" customFormat="1">
      <c r="A223" s="20" t="str">
        <f>IF(BASE!B223=0,"",BASE!B223)</f>
        <v/>
      </c>
      <c r="B223" s="19" t="str">
        <f>IF(BASE!C223=0,"",BASE!C223)</f>
        <v/>
      </c>
      <c r="C223" s="19" t="str">
        <f>IF(BASE!D223=0,"",TRIM(BASE!D223))</f>
        <v/>
      </c>
      <c r="D223" s="21" t="str">
        <f>IFERROR(VLOOKUP(A223,AUX!A:B,2,0),"")</f>
        <v/>
      </c>
      <c r="E223" s="19" t="str">
        <f t="shared" si="27"/>
        <v/>
      </c>
      <c r="F223" s="19" t="str">
        <f t="shared" si="28"/>
        <v/>
      </c>
      <c r="G223" s="19" t="str">
        <f t="shared" si="29"/>
        <v/>
      </c>
      <c r="H223" s="19" t="str">
        <f t="shared" si="30"/>
        <v/>
      </c>
      <c r="I223" s="18" t="str">
        <f t="shared" si="25"/>
        <v/>
      </c>
      <c r="J223" s="18" t="str">
        <f t="shared" si="26"/>
        <v/>
      </c>
      <c r="K223" s="19" t="str">
        <f t="shared" si="31"/>
        <v/>
      </c>
      <c r="L223" s="19"/>
      <c r="M223" s="19"/>
      <c r="N223" s="19"/>
    </row>
    <row r="224" spans="1:14" customFormat="1">
      <c r="A224" s="20" t="str">
        <f>IF(BASE!B224=0,"",BASE!B224)</f>
        <v/>
      </c>
      <c r="B224" s="19" t="str">
        <f>IF(BASE!C224=0,"",BASE!C224)</f>
        <v/>
      </c>
      <c r="C224" s="19" t="str">
        <f>IF(BASE!D224=0,"",TRIM(BASE!D224))</f>
        <v/>
      </c>
      <c r="D224" s="21" t="str">
        <f>IFERROR(VLOOKUP(A224,AUX!A:B,2,0),"")</f>
        <v/>
      </c>
      <c r="E224" s="19" t="str">
        <f t="shared" si="27"/>
        <v/>
      </c>
      <c r="F224" s="19" t="str">
        <f t="shared" si="28"/>
        <v/>
      </c>
      <c r="G224" s="19" t="str">
        <f t="shared" si="29"/>
        <v/>
      </c>
      <c r="H224" s="19" t="str">
        <f t="shared" si="30"/>
        <v/>
      </c>
      <c r="I224" s="18" t="str">
        <f t="shared" ref="I224:I287" si="32">E224&amp;G224&amp;H224</f>
        <v/>
      </c>
      <c r="J224" s="18" t="str">
        <f t="shared" ref="J224:J287" si="33">IFERROR(LEFT(B224,FIND(" ",B224)),"")</f>
        <v/>
      </c>
      <c r="K224" s="19" t="str">
        <f t="shared" si="31"/>
        <v/>
      </c>
      <c r="L224" s="19"/>
      <c r="M224" s="19"/>
      <c r="N224" s="19"/>
    </row>
    <row r="225" spans="1:14" customFormat="1">
      <c r="A225" s="20" t="str">
        <f>IF(BASE!B225=0,"",BASE!B225)</f>
        <v/>
      </c>
      <c r="B225" s="19" t="str">
        <f>IF(BASE!C225=0,"",BASE!C225)</f>
        <v/>
      </c>
      <c r="C225" s="19" t="str">
        <f>IF(BASE!D225=0,"",TRIM(BASE!D225))</f>
        <v/>
      </c>
      <c r="D225" s="21" t="str">
        <f>IFERROR(VLOOKUP(A225,AUX!A:B,2,0),"")</f>
        <v/>
      </c>
      <c r="E225" s="19" t="str">
        <f t="shared" si="27"/>
        <v/>
      </c>
      <c r="F225" s="19" t="str">
        <f t="shared" si="28"/>
        <v/>
      </c>
      <c r="G225" s="19" t="str">
        <f t="shared" si="29"/>
        <v/>
      </c>
      <c r="H225" s="19" t="str">
        <f t="shared" si="30"/>
        <v/>
      </c>
      <c r="I225" s="18" t="str">
        <f t="shared" si="32"/>
        <v/>
      </c>
      <c r="J225" s="18" t="str">
        <f t="shared" si="33"/>
        <v/>
      </c>
      <c r="K225" s="19" t="str">
        <f t="shared" si="31"/>
        <v/>
      </c>
      <c r="L225" s="19"/>
      <c r="M225" s="19"/>
      <c r="N225" s="19"/>
    </row>
    <row r="226" spans="1:14" customFormat="1">
      <c r="A226" s="20" t="str">
        <f>IF(BASE!B226=0,"",BASE!B226)</f>
        <v/>
      </c>
      <c r="B226" s="19" t="str">
        <f>IF(BASE!C226=0,"",BASE!C226)</f>
        <v/>
      </c>
      <c r="C226" s="19" t="str">
        <f>IF(BASE!D226=0,"",TRIM(BASE!D226))</f>
        <v/>
      </c>
      <c r="D226" s="21" t="str">
        <f>IFERROR(VLOOKUP(A226,AUX!A:B,2,0),"")</f>
        <v/>
      </c>
      <c r="E226" s="19" t="str">
        <f t="shared" si="27"/>
        <v/>
      </c>
      <c r="F226" s="19" t="str">
        <f t="shared" si="28"/>
        <v/>
      </c>
      <c r="G226" s="19" t="str">
        <f t="shared" si="29"/>
        <v/>
      </c>
      <c r="H226" s="19" t="str">
        <f t="shared" si="30"/>
        <v/>
      </c>
      <c r="I226" s="18" t="str">
        <f t="shared" si="32"/>
        <v/>
      </c>
      <c r="J226" s="18" t="str">
        <f t="shared" si="33"/>
        <v/>
      </c>
      <c r="K226" s="19" t="str">
        <f t="shared" si="31"/>
        <v/>
      </c>
      <c r="L226" s="19"/>
      <c r="M226" s="19"/>
      <c r="N226" s="19"/>
    </row>
    <row r="227" spans="1:14" customFormat="1">
      <c r="A227" s="20" t="str">
        <f>IF(BASE!B227=0,"",BASE!B227)</f>
        <v/>
      </c>
      <c r="B227" s="19" t="str">
        <f>IF(BASE!C227=0,"",BASE!C227)</f>
        <v/>
      </c>
      <c r="C227" s="19" t="str">
        <f>IF(BASE!D227=0,"",TRIM(BASE!D227))</f>
        <v/>
      </c>
      <c r="D227" s="21" t="str">
        <f>IFERROR(VLOOKUP(A227,AUX!A:B,2,0),"")</f>
        <v/>
      </c>
      <c r="E227" s="19" t="str">
        <f t="shared" si="27"/>
        <v/>
      </c>
      <c r="F227" s="19" t="str">
        <f t="shared" si="28"/>
        <v/>
      </c>
      <c r="G227" s="19" t="str">
        <f t="shared" si="29"/>
        <v/>
      </c>
      <c r="H227" s="19" t="str">
        <f t="shared" si="30"/>
        <v/>
      </c>
      <c r="I227" s="18" t="str">
        <f t="shared" si="32"/>
        <v/>
      </c>
      <c r="J227" s="18" t="str">
        <f t="shared" si="33"/>
        <v/>
      </c>
      <c r="K227" s="19" t="str">
        <f t="shared" si="31"/>
        <v/>
      </c>
      <c r="L227" s="19"/>
      <c r="M227" s="19"/>
      <c r="N227" s="19"/>
    </row>
    <row r="228" spans="1:14" customFormat="1">
      <c r="A228" s="20" t="str">
        <f>IF(BASE!B228=0,"",BASE!B228)</f>
        <v/>
      </c>
      <c r="B228" s="19" t="str">
        <f>IF(BASE!C228=0,"",BASE!C228)</f>
        <v/>
      </c>
      <c r="C228" s="19" t="str">
        <f>IF(BASE!D228=0,"",TRIM(BASE!D228))</f>
        <v/>
      </c>
      <c r="D228" s="21" t="str">
        <f>IFERROR(VLOOKUP(A228,AUX!A:B,2,0),"")</f>
        <v/>
      </c>
      <c r="E228" s="19" t="str">
        <f t="shared" si="27"/>
        <v/>
      </c>
      <c r="F228" s="19" t="str">
        <f t="shared" si="28"/>
        <v/>
      </c>
      <c r="G228" s="19" t="str">
        <f t="shared" si="29"/>
        <v/>
      </c>
      <c r="H228" s="19" t="str">
        <f t="shared" si="30"/>
        <v/>
      </c>
      <c r="I228" s="18" t="str">
        <f t="shared" si="32"/>
        <v/>
      </c>
      <c r="J228" s="18" t="str">
        <f t="shared" si="33"/>
        <v/>
      </c>
      <c r="K228" s="19" t="str">
        <f t="shared" si="31"/>
        <v/>
      </c>
      <c r="L228" s="19"/>
      <c r="M228" s="19"/>
      <c r="N228" s="19"/>
    </row>
    <row r="229" spans="1:14" customFormat="1">
      <c r="A229" s="20" t="str">
        <f>IF(BASE!B229=0,"",BASE!B229)</f>
        <v/>
      </c>
      <c r="B229" s="19" t="str">
        <f>IF(BASE!C229=0,"",BASE!C229)</f>
        <v/>
      </c>
      <c r="C229" s="19" t="str">
        <f>IF(BASE!D229=0,"",TRIM(BASE!D229))</f>
        <v/>
      </c>
      <c r="D229" s="21" t="str">
        <f>IFERROR(VLOOKUP(A229,AUX!A:B,2,0),"")</f>
        <v/>
      </c>
      <c r="E229" s="19" t="str">
        <f t="shared" si="27"/>
        <v/>
      </c>
      <c r="F229" s="19" t="str">
        <f t="shared" si="28"/>
        <v/>
      </c>
      <c r="G229" s="19" t="str">
        <f t="shared" si="29"/>
        <v/>
      </c>
      <c r="H229" s="19" t="str">
        <f t="shared" si="30"/>
        <v/>
      </c>
      <c r="I229" s="18" t="str">
        <f t="shared" si="32"/>
        <v/>
      </c>
      <c r="J229" s="18" t="str">
        <f t="shared" si="33"/>
        <v/>
      </c>
      <c r="K229" s="19" t="str">
        <f t="shared" si="31"/>
        <v/>
      </c>
      <c r="L229" s="19"/>
      <c r="M229" s="19"/>
      <c r="N229" s="19"/>
    </row>
    <row r="230" spans="1:14" customFormat="1">
      <c r="A230" s="20" t="str">
        <f>IF(BASE!B230=0,"",BASE!B230)</f>
        <v/>
      </c>
      <c r="B230" s="19" t="str">
        <f>IF(BASE!C230=0,"",BASE!C230)</f>
        <v/>
      </c>
      <c r="C230" s="19" t="str">
        <f>IF(BASE!D230=0,"",TRIM(BASE!D230))</f>
        <v/>
      </c>
      <c r="D230" s="21" t="str">
        <f>IFERROR(VLOOKUP(A230,AUX!A:B,2,0),"")</f>
        <v/>
      </c>
      <c r="E230" s="19" t="str">
        <f t="shared" si="27"/>
        <v/>
      </c>
      <c r="F230" s="19" t="str">
        <f t="shared" si="28"/>
        <v/>
      </c>
      <c r="G230" s="19" t="str">
        <f t="shared" si="29"/>
        <v/>
      </c>
      <c r="H230" s="19" t="str">
        <f t="shared" si="30"/>
        <v/>
      </c>
      <c r="I230" s="18" t="str">
        <f t="shared" si="32"/>
        <v/>
      </c>
      <c r="J230" s="18" t="str">
        <f t="shared" si="33"/>
        <v/>
      </c>
      <c r="K230" s="19" t="str">
        <f t="shared" si="31"/>
        <v/>
      </c>
      <c r="L230" s="19"/>
      <c r="M230" s="19"/>
      <c r="N230" s="19"/>
    </row>
    <row r="231" spans="1:14" customFormat="1">
      <c r="A231" s="20" t="str">
        <f>IF(BASE!B231=0,"",BASE!B231)</f>
        <v/>
      </c>
      <c r="B231" s="19" t="str">
        <f>IF(BASE!C231=0,"",BASE!C231)</f>
        <v/>
      </c>
      <c r="C231" s="19" t="str">
        <f>IF(BASE!D231=0,"",TRIM(BASE!D231))</f>
        <v/>
      </c>
      <c r="D231" s="21" t="str">
        <f>IFERROR(VLOOKUP(A231,AUX!A:B,2,0),"")</f>
        <v/>
      </c>
      <c r="E231" s="19" t="str">
        <f t="shared" si="27"/>
        <v/>
      </c>
      <c r="F231" s="19" t="str">
        <f t="shared" si="28"/>
        <v/>
      </c>
      <c r="G231" s="19" t="str">
        <f t="shared" si="29"/>
        <v/>
      </c>
      <c r="H231" s="19" t="str">
        <f t="shared" si="30"/>
        <v/>
      </c>
      <c r="I231" s="18" t="str">
        <f t="shared" si="32"/>
        <v/>
      </c>
      <c r="J231" s="18" t="str">
        <f t="shared" si="33"/>
        <v/>
      </c>
      <c r="K231" s="19" t="str">
        <f t="shared" si="31"/>
        <v/>
      </c>
      <c r="L231" s="19"/>
      <c r="M231" s="19"/>
      <c r="N231" s="19"/>
    </row>
    <row r="232" spans="1:14" customFormat="1">
      <c r="A232" s="20" t="str">
        <f>IF(BASE!B232=0,"",BASE!B232)</f>
        <v/>
      </c>
      <c r="B232" s="19" t="str">
        <f>IF(BASE!C232=0,"",BASE!C232)</f>
        <v/>
      </c>
      <c r="C232" s="19" t="str">
        <f>IF(BASE!D232=0,"",TRIM(BASE!D232))</f>
        <v/>
      </c>
      <c r="D232" s="21" t="str">
        <f>IFERROR(VLOOKUP(A232,AUX!A:B,2,0),"")</f>
        <v/>
      </c>
      <c r="E232" s="19" t="str">
        <f t="shared" si="27"/>
        <v/>
      </c>
      <c r="F232" s="19" t="str">
        <f t="shared" si="28"/>
        <v/>
      </c>
      <c r="G232" s="19" t="str">
        <f t="shared" si="29"/>
        <v/>
      </c>
      <c r="H232" s="19" t="str">
        <f t="shared" si="30"/>
        <v/>
      </c>
      <c r="I232" s="18" t="str">
        <f t="shared" si="32"/>
        <v/>
      </c>
      <c r="J232" s="18" t="str">
        <f t="shared" si="33"/>
        <v/>
      </c>
      <c r="K232" s="19" t="str">
        <f t="shared" si="31"/>
        <v/>
      </c>
      <c r="L232" s="19"/>
      <c r="M232" s="19"/>
      <c r="N232" s="19"/>
    </row>
    <row r="233" spans="1:14" customFormat="1">
      <c r="A233" s="20" t="str">
        <f>IF(BASE!B233=0,"",BASE!B233)</f>
        <v/>
      </c>
      <c r="B233" s="19" t="str">
        <f>IF(BASE!C233=0,"",BASE!C233)</f>
        <v/>
      </c>
      <c r="C233" s="19" t="str">
        <f>IF(BASE!D233=0,"",TRIM(BASE!D233))</f>
        <v/>
      </c>
      <c r="D233" s="21" t="str">
        <f>IFERROR(VLOOKUP(A233,AUX!A:B,2,0),"")</f>
        <v/>
      </c>
      <c r="E233" s="19" t="str">
        <f t="shared" si="27"/>
        <v/>
      </c>
      <c r="F233" s="19" t="str">
        <f t="shared" si="28"/>
        <v/>
      </c>
      <c r="G233" s="19" t="str">
        <f t="shared" si="29"/>
        <v/>
      </c>
      <c r="H233" s="19" t="str">
        <f t="shared" si="30"/>
        <v/>
      </c>
      <c r="I233" s="18" t="str">
        <f t="shared" si="32"/>
        <v/>
      </c>
      <c r="J233" s="18" t="str">
        <f t="shared" si="33"/>
        <v/>
      </c>
      <c r="K233" s="19" t="str">
        <f t="shared" si="31"/>
        <v/>
      </c>
      <c r="L233" s="19"/>
      <c r="M233" s="19"/>
      <c r="N233" s="19"/>
    </row>
    <row r="234" spans="1:14" customFormat="1">
      <c r="A234" s="20" t="str">
        <f>IF(BASE!B234=0,"",BASE!B234)</f>
        <v/>
      </c>
      <c r="B234" s="19" t="str">
        <f>IF(BASE!C234=0,"",BASE!C234)</f>
        <v/>
      </c>
      <c r="C234" s="19" t="str">
        <f>IF(BASE!D234=0,"",TRIM(BASE!D234))</f>
        <v/>
      </c>
      <c r="D234" s="21" t="str">
        <f>IFERROR(VLOOKUP(A234,AUX!A:B,2,0),"")</f>
        <v/>
      </c>
      <c r="E234" s="19" t="str">
        <f t="shared" si="27"/>
        <v/>
      </c>
      <c r="F234" s="19" t="str">
        <f t="shared" si="28"/>
        <v/>
      </c>
      <c r="G234" s="19" t="str">
        <f t="shared" si="29"/>
        <v/>
      </c>
      <c r="H234" s="19" t="str">
        <f t="shared" si="30"/>
        <v/>
      </c>
      <c r="I234" s="18" t="str">
        <f t="shared" si="32"/>
        <v/>
      </c>
      <c r="J234" s="18" t="str">
        <f t="shared" si="33"/>
        <v/>
      </c>
      <c r="K234" s="19" t="str">
        <f t="shared" si="31"/>
        <v/>
      </c>
      <c r="L234" s="19"/>
      <c r="M234" s="19"/>
      <c r="N234" s="19"/>
    </row>
    <row r="235" spans="1:14" customFormat="1">
      <c r="A235" s="20" t="str">
        <f>IF(BASE!B235=0,"",BASE!B235)</f>
        <v/>
      </c>
      <c r="B235" s="19" t="str">
        <f>IF(BASE!C235=0,"",BASE!C235)</f>
        <v/>
      </c>
      <c r="C235" s="19" t="str">
        <f>IF(BASE!D235=0,"",TRIM(BASE!D235))</f>
        <v/>
      </c>
      <c r="D235" s="21" t="str">
        <f>IFERROR(VLOOKUP(A235,AUX!A:B,2,0),"")</f>
        <v/>
      </c>
      <c r="E235" s="19" t="str">
        <f t="shared" si="27"/>
        <v/>
      </c>
      <c r="F235" s="19" t="str">
        <f t="shared" si="28"/>
        <v/>
      </c>
      <c r="G235" s="19" t="str">
        <f t="shared" si="29"/>
        <v/>
      </c>
      <c r="H235" s="19" t="str">
        <f t="shared" si="30"/>
        <v/>
      </c>
      <c r="I235" s="18" t="str">
        <f t="shared" si="32"/>
        <v/>
      </c>
      <c r="J235" s="18" t="str">
        <f t="shared" si="33"/>
        <v/>
      </c>
      <c r="K235" s="19" t="str">
        <f t="shared" si="31"/>
        <v/>
      </c>
      <c r="L235" s="19"/>
      <c r="M235" s="19"/>
      <c r="N235" s="19"/>
    </row>
    <row r="236" spans="1:14" customFormat="1">
      <c r="A236" s="20" t="str">
        <f>IF(BASE!B236=0,"",BASE!B236)</f>
        <v/>
      </c>
      <c r="B236" s="19" t="str">
        <f>IF(BASE!C236=0,"",BASE!C236)</f>
        <v/>
      </c>
      <c r="C236" s="19" t="str">
        <f>IF(BASE!D236=0,"",TRIM(BASE!D236))</f>
        <v/>
      </c>
      <c r="D236" s="21" t="str">
        <f>IFERROR(VLOOKUP(A236,AUX!A:B,2,0),"")</f>
        <v/>
      </c>
      <c r="E236" s="19" t="str">
        <f t="shared" si="27"/>
        <v/>
      </c>
      <c r="F236" s="19" t="str">
        <f t="shared" si="28"/>
        <v/>
      </c>
      <c r="G236" s="19" t="str">
        <f t="shared" si="29"/>
        <v/>
      </c>
      <c r="H236" s="19" t="str">
        <f t="shared" si="30"/>
        <v/>
      </c>
      <c r="I236" s="18" t="str">
        <f t="shared" si="32"/>
        <v/>
      </c>
      <c r="J236" s="18" t="str">
        <f t="shared" si="33"/>
        <v/>
      </c>
      <c r="K236" s="19" t="str">
        <f t="shared" si="31"/>
        <v/>
      </c>
      <c r="L236" s="19"/>
      <c r="M236" s="19"/>
      <c r="N236" s="19"/>
    </row>
    <row r="237" spans="1:14" customFormat="1">
      <c r="A237" s="20" t="str">
        <f>IF(BASE!B237=0,"",BASE!B237)</f>
        <v/>
      </c>
      <c r="B237" s="19" t="str">
        <f>IF(BASE!C237=0,"",BASE!C237)</f>
        <v/>
      </c>
      <c r="C237" s="19" t="str">
        <f>IF(BASE!D237=0,"",TRIM(BASE!D237))</f>
        <v/>
      </c>
      <c r="D237" s="21" t="str">
        <f>IFERROR(VLOOKUP(A237,AUX!A:B,2,0),"")</f>
        <v/>
      </c>
      <c r="E237" s="19" t="str">
        <f t="shared" si="27"/>
        <v/>
      </c>
      <c r="F237" s="19" t="str">
        <f t="shared" si="28"/>
        <v/>
      </c>
      <c r="G237" s="19" t="str">
        <f t="shared" si="29"/>
        <v/>
      </c>
      <c r="H237" s="19" t="str">
        <f t="shared" si="30"/>
        <v/>
      </c>
      <c r="I237" s="18" t="str">
        <f t="shared" si="32"/>
        <v/>
      </c>
      <c r="J237" s="18" t="str">
        <f t="shared" si="33"/>
        <v/>
      </c>
      <c r="K237" s="19" t="str">
        <f t="shared" si="31"/>
        <v/>
      </c>
      <c r="L237" s="19"/>
      <c r="M237" s="19"/>
      <c r="N237" s="19"/>
    </row>
    <row r="238" spans="1:14" customFormat="1">
      <c r="A238" s="20" t="str">
        <f>IF(BASE!B238=0,"",BASE!B238)</f>
        <v/>
      </c>
      <c r="B238" s="19" t="str">
        <f>IF(BASE!C238=0,"",BASE!C238)</f>
        <v/>
      </c>
      <c r="C238" s="19" t="str">
        <f>IF(BASE!D238=0,"",TRIM(BASE!D238))</f>
        <v/>
      </c>
      <c r="D238" s="21" t="str">
        <f>IFERROR(VLOOKUP(A238,AUX!A:B,2,0),"")</f>
        <v/>
      </c>
      <c r="E238" s="19" t="str">
        <f t="shared" si="27"/>
        <v/>
      </c>
      <c r="F238" s="19" t="str">
        <f t="shared" si="28"/>
        <v/>
      </c>
      <c r="G238" s="19" t="str">
        <f t="shared" si="29"/>
        <v/>
      </c>
      <c r="H238" s="19" t="str">
        <f t="shared" si="30"/>
        <v/>
      </c>
      <c r="I238" s="18" t="str">
        <f t="shared" si="32"/>
        <v/>
      </c>
      <c r="J238" s="18" t="str">
        <f t="shared" si="33"/>
        <v/>
      </c>
      <c r="K238" s="19" t="str">
        <f t="shared" si="31"/>
        <v/>
      </c>
      <c r="L238" s="19"/>
      <c r="M238" s="19"/>
      <c r="N238" s="19"/>
    </row>
    <row r="239" spans="1:14" customFormat="1">
      <c r="A239" s="20" t="str">
        <f>IF(BASE!B239=0,"",BASE!B239)</f>
        <v/>
      </c>
      <c r="B239" s="19" t="str">
        <f>IF(BASE!C239=0,"",BASE!C239)</f>
        <v/>
      </c>
      <c r="C239" s="19" t="str">
        <f>IF(BASE!D239=0,"",TRIM(BASE!D239))</f>
        <v/>
      </c>
      <c r="D239" s="21" t="str">
        <f>IFERROR(VLOOKUP(A239,AUX!A:B,2,0),"")</f>
        <v/>
      </c>
      <c r="E239" s="19" t="str">
        <f t="shared" si="27"/>
        <v/>
      </c>
      <c r="F239" s="19" t="str">
        <f t="shared" si="28"/>
        <v/>
      </c>
      <c r="G239" s="19" t="str">
        <f t="shared" si="29"/>
        <v/>
      </c>
      <c r="H239" s="19" t="str">
        <f t="shared" si="30"/>
        <v/>
      </c>
      <c r="I239" s="18" t="str">
        <f t="shared" si="32"/>
        <v/>
      </c>
      <c r="J239" s="18" t="str">
        <f t="shared" si="33"/>
        <v/>
      </c>
      <c r="K239" s="19" t="str">
        <f t="shared" si="31"/>
        <v/>
      </c>
      <c r="L239" s="19"/>
      <c r="M239" s="19"/>
      <c r="N239" s="19"/>
    </row>
    <row r="240" spans="1:14" customFormat="1">
      <c r="A240" s="20" t="str">
        <f>IF(BASE!B240=0,"",BASE!B240)</f>
        <v/>
      </c>
      <c r="B240" s="19" t="str">
        <f>IF(BASE!C240=0,"",BASE!C240)</f>
        <v/>
      </c>
      <c r="C240" s="19" t="str">
        <f>IF(BASE!D240=0,"",TRIM(BASE!D240))</f>
        <v/>
      </c>
      <c r="D240" s="21" t="str">
        <f>IFERROR(VLOOKUP(A240,AUX!A:B,2,0),"")</f>
        <v/>
      </c>
      <c r="E240" s="19" t="str">
        <f t="shared" si="27"/>
        <v/>
      </c>
      <c r="F240" s="19" t="str">
        <f t="shared" si="28"/>
        <v/>
      </c>
      <c r="G240" s="19" t="str">
        <f t="shared" si="29"/>
        <v/>
      </c>
      <c r="H240" s="19" t="str">
        <f t="shared" si="30"/>
        <v/>
      </c>
      <c r="I240" s="18" t="str">
        <f t="shared" si="32"/>
        <v/>
      </c>
      <c r="J240" s="18" t="str">
        <f t="shared" si="33"/>
        <v/>
      </c>
      <c r="K240" s="19" t="str">
        <f t="shared" si="31"/>
        <v/>
      </c>
      <c r="L240" s="19"/>
      <c r="M240" s="19"/>
      <c r="N240" s="19"/>
    </row>
    <row r="241" spans="1:14" customFormat="1">
      <c r="A241" s="20" t="str">
        <f>IF(BASE!B241=0,"",BASE!B241)</f>
        <v/>
      </c>
      <c r="B241" s="19" t="str">
        <f>IF(BASE!C241=0,"",BASE!C241)</f>
        <v/>
      </c>
      <c r="C241" s="19" t="str">
        <f>IF(BASE!D241=0,"",TRIM(BASE!D241))</f>
        <v/>
      </c>
      <c r="D241" s="21" t="str">
        <f>IFERROR(VLOOKUP(A241,AUX!A:B,2,0),"")</f>
        <v/>
      </c>
      <c r="E241" s="19" t="str">
        <f t="shared" si="27"/>
        <v/>
      </c>
      <c r="F241" s="19" t="str">
        <f t="shared" si="28"/>
        <v/>
      </c>
      <c r="G241" s="19" t="str">
        <f t="shared" si="29"/>
        <v/>
      </c>
      <c r="H241" s="19" t="str">
        <f t="shared" si="30"/>
        <v/>
      </c>
      <c r="I241" s="18" t="str">
        <f t="shared" si="32"/>
        <v/>
      </c>
      <c r="J241" s="18" t="str">
        <f t="shared" si="33"/>
        <v/>
      </c>
      <c r="K241" s="19" t="str">
        <f t="shared" si="31"/>
        <v/>
      </c>
      <c r="L241" s="19"/>
      <c r="M241" s="19"/>
      <c r="N241" s="19"/>
    </row>
    <row r="242" spans="1:14" customFormat="1">
      <c r="A242" s="20" t="str">
        <f>IF(BASE!B242=0,"",BASE!B242)</f>
        <v/>
      </c>
      <c r="B242" s="19" t="str">
        <f>IF(BASE!C242=0,"",BASE!C242)</f>
        <v/>
      </c>
      <c r="C242" s="19" t="str">
        <f>IF(BASE!D242=0,"",TRIM(BASE!D242))</f>
        <v/>
      </c>
      <c r="D242" s="21" t="str">
        <f>IFERROR(VLOOKUP(A242,AUX!A:B,2,0),"")</f>
        <v/>
      </c>
      <c r="E242" s="19" t="str">
        <f t="shared" si="27"/>
        <v/>
      </c>
      <c r="F242" s="19" t="str">
        <f t="shared" si="28"/>
        <v/>
      </c>
      <c r="G242" s="19" t="str">
        <f t="shared" si="29"/>
        <v/>
      </c>
      <c r="H242" s="19" t="str">
        <f t="shared" si="30"/>
        <v/>
      </c>
      <c r="I242" s="18" t="str">
        <f t="shared" si="32"/>
        <v/>
      </c>
      <c r="J242" s="18" t="str">
        <f t="shared" si="33"/>
        <v/>
      </c>
      <c r="K242" s="19" t="str">
        <f t="shared" si="31"/>
        <v/>
      </c>
      <c r="L242" s="19"/>
      <c r="M242" s="19"/>
      <c r="N242" s="19"/>
    </row>
    <row r="243" spans="1:14" customFormat="1">
      <c r="A243" s="20" t="str">
        <f>IF(BASE!B243=0,"",BASE!B243)</f>
        <v/>
      </c>
      <c r="B243" s="19" t="str">
        <f>IF(BASE!C243=0,"",BASE!C243)</f>
        <v/>
      </c>
      <c r="C243" s="19" t="str">
        <f>IF(BASE!D243=0,"",TRIM(BASE!D243))</f>
        <v/>
      </c>
      <c r="D243" s="21" t="str">
        <f>IFERROR(VLOOKUP(A243,AUX!A:B,2,0),"")</f>
        <v/>
      </c>
      <c r="E243" s="19" t="str">
        <f t="shared" si="27"/>
        <v/>
      </c>
      <c r="F243" s="19" t="str">
        <f t="shared" si="28"/>
        <v/>
      </c>
      <c r="G243" s="19" t="str">
        <f t="shared" si="29"/>
        <v/>
      </c>
      <c r="H243" s="19" t="str">
        <f t="shared" si="30"/>
        <v/>
      </c>
      <c r="I243" s="18" t="str">
        <f t="shared" si="32"/>
        <v/>
      </c>
      <c r="J243" s="18" t="str">
        <f t="shared" si="33"/>
        <v/>
      </c>
      <c r="K243" s="19" t="str">
        <f t="shared" si="31"/>
        <v/>
      </c>
      <c r="L243" s="19"/>
      <c r="M243" s="19"/>
      <c r="N243" s="19"/>
    </row>
    <row r="244" spans="1:14" customFormat="1">
      <c r="A244" s="20" t="str">
        <f>IF(BASE!B244=0,"",BASE!B244)</f>
        <v/>
      </c>
      <c r="B244" s="19" t="str">
        <f>IF(BASE!C244=0,"",BASE!C244)</f>
        <v/>
      </c>
      <c r="C244" s="19" t="str">
        <f>IF(BASE!D244=0,"",TRIM(BASE!D244))</f>
        <v/>
      </c>
      <c r="D244" s="21" t="str">
        <f>IFERROR(VLOOKUP(A244,AUX!A:B,2,0),"")</f>
        <v/>
      </c>
      <c r="E244" s="19" t="str">
        <f t="shared" si="27"/>
        <v/>
      </c>
      <c r="F244" s="19" t="str">
        <f t="shared" si="28"/>
        <v/>
      </c>
      <c r="G244" s="19" t="str">
        <f t="shared" si="29"/>
        <v/>
      </c>
      <c r="H244" s="19" t="str">
        <f t="shared" si="30"/>
        <v/>
      </c>
      <c r="I244" s="18" t="str">
        <f t="shared" si="32"/>
        <v/>
      </c>
      <c r="J244" s="18" t="str">
        <f t="shared" si="33"/>
        <v/>
      </c>
      <c r="K244" s="19" t="str">
        <f t="shared" si="31"/>
        <v/>
      </c>
      <c r="L244" s="19"/>
      <c r="M244" s="19"/>
      <c r="N244" s="19"/>
    </row>
    <row r="245" spans="1:14" customFormat="1">
      <c r="A245" s="20" t="str">
        <f>IF(BASE!B245=0,"",BASE!B245)</f>
        <v/>
      </c>
      <c r="B245" s="19" t="str">
        <f>IF(BASE!C245=0,"",BASE!C245)</f>
        <v/>
      </c>
      <c r="C245" s="19" t="str">
        <f>IF(BASE!D245=0,"",TRIM(BASE!D245))</f>
        <v/>
      </c>
      <c r="D245" s="21" t="str">
        <f>IFERROR(VLOOKUP(A245,AUX!A:B,2,0),"")</f>
        <v/>
      </c>
      <c r="E245" s="19" t="str">
        <f t="shared" si="27"/>
        <v/>
      </c>
      <c r="F245" s="19" t="str">
        <f t="shared" si="28"/>
        <v/>
      </c>
      <c r="G245" s="19" t="str">
        <f t="shared" si="29"/>
        <v/>
      </c>
      <c r="H245" s="19" t="str">
        <f t="shared" si="30"/>
        <v/>
      </c>
      <c r="I245" s="18" t="str">
        <f t="shared" si="32"/>
        <v/>
      </c>
      <c r="J245" s="18" t="str">
        <f t="shared" si="33"/>
        <v/>
      </c>
      <c r="K245" s="19" t="str">
        <f t="shared" si="31"/>
        <v/>
      </c>
      <c r="L245" s="19"/>
      <c r="M245" s="19"/>
      <c r="N245" s="19"/>
    </row>
    <row r="246" spans="1:14" customFormat="1">
      <c r="A246" s="20" t="str">
        <f>IF(BASE!B246=0,"",BASE!B246)</f>
        <v/>
      </c>
      <c r="B246" s="19" t="str">
        <f>IF(BASE!C246=0,"",BASE!C246)</f>
        <v/>
      </c>
      <c r="C246" s="19" t="str">
        <f>IF(BASE!D246=0,"",TRIM(BASE!D246))</f>
        <v/>
      </c>
      <c r="D246" s="21" t="str">
        <f>IFERROR(VLOOKUP(A246,AUX!A:B,2,0),"")</f>
        <v/>
      </c>
      <c r="E246" s="19" t="str">
        <f t="shared" si="27"/>
        <v/>
      </c>
      <c r="F246" s="19" t="str">
        <f t="shared" si="28"/>
        <v/>
      </c>
      <c r="G246" s="19" t="str">
        <f t="shared" si="29"/>
        <v/>
      </c>
      <c r="H246" s="19" t="str">
        <f t="shared" si="30"/>
        <v/>
      </c>
      <c r="I246" s="18" t="str">
        <f t="shared" si="32"/>
        <v/>
      </c>
      <c r="J246" s="18" t="str">
        <f t="shared" si="33"/>
        <v/>
      </c>
      <c r="K246" s="19" t="str">
        <f t="shared" si="31"/>
        <v/>
      </c>
      <c r="L246" s="19"/>
      <c r="M246" s="19"/>
      <c r="N246" s="19"/>
    </row>
    <row r="247" spans="1:14" customFormat="1">
      <c r="A247" s="20" t="str">
        <f>IF(BASE!B247=0,"",BASE!B247)</f>
        <v/>
      </c>
      <c r="B247" s="19" t="str">
        <f>IF(BASE!C247=0,"",BASE!C247)</f>
        <v/>
      </c>
      <c r="C247" s="19" t="str">
        <f>IF(BASE!D247=0,"",TRIM(BASE!D247))</f>
        <v/>
      </c>
      <c r="D247" s="21" t="str">
        <f>IFERROR(VLOOKUP(A247,AUX!A:B,2,0),"")</f>
        <v/>
      </c>
      <c r="E247" s="19" t="str">
        <f t="shared" si="27"/>
        <v/>
      </c>
      <c r="F247" s="19" t="str">
        <f t="shared" si="28"/>
        <v/>
      </c>
      <c r="G247" s="19" t="str">
        <f t="shared" si="29"/>
        <v/>
      </c>
      <c r="H247" s="19" t="str">
        <f t="shared" si="30"/>
        <v/>
      </c>
      <c r="I247" s="18" t="str">
        <f t="shared" si="32"/>
        <v/>
      </c>
      <c r="J247" s="18" t="str">
        <f t="shared" si="33"/>
        <v/>
      </c>
      <c r="K247" s="19" t="str">
        <f t="shared" si="31"/>
        <v/>
      </c>
      <c r="L247" s="19"/>
      <c r="M247" s="19"/>
      <c r="N247" s="19"/>
    </row>
    <row r="248" spans="1:14" customFormat="1">
      <c r="A248" s="20" t="str">
        <f>IF(BASE!B248=0,"",BASE!B248)</f>
        <v/>
      </c>
      <c r="B248" s="19" t="str">
        <f>IF(BASE!C248=0,"",BASE!C248)</f>
        <v/>
      </c>
      <c r="C248" s="19" t="str">
        <f>IF(BASE!D248=0,"",TRIM(BASE!D248))</f>
        <v/>
      </c>
      <c r="D248" s="21" t="str">
        <f>IFERROR(VLOOKUP(A248,AUX!A:B,2,0),"")</f>
        <v/>
      </c>
      <c r="E248" s="19" t="str">
        <f t="shared" si="27"/>
        <v/>
      </c>
      <c r="F248" s="19" t="str">
        <f t="shared" si="28"/>
        <v/>
      </c>
      <c r="G248" s="19" t="str">
        <f t="shared" si="29"/>
        <v/>
      </c>
      <c r="H248" s="19" t="str">
        <f t="shared" si="30"/>
        <v/>
      </c>
      <c r="I248" s="18" t="str">
        <f t="shared" si="32"/>
        <v/>
      </c>
      <c r="J248" s="18" t="str">
        <f t="shared" si="33"/>
        <v/>
      </c>
      <c r="K248" s="19" t="str">
        <f t="shared" si="31"/>
        <v/>
      </c>
      <c r="L248" s="19"/>
      <c r="M248" s="19"/>
      <c r="N248" s="19"/>
    </row>
    <row r="249" spans="1:14" customFormat="1">
      <c r="A249" s="20" t="str">
        <f>IF(BASE!B249=0,"",BASE!B249)</f>
        <v/>
      </c>
      <c r="B249" s="19" t="str">
        <f>IF(BASE!C249=0,"",BASE!C249)</f>
        <v/>
      </c>
      <c r="C249" s="19" t="str">
        <f>IF(BASE!D249=0,"",TRIM(BASE!D249))</f>
        <v/>
      </c>
      <c r="D249" s="21" t="str">
        <f>IFERROR(VLOOKUP(A249,AUX!A:B,2,0),"")</f>
        <v/>
      </c>
      <c r="E249" s="19" t="str">
        <f t="shared" si="27"/>
        <v/>
      </c>
      <c r="F249" s="19" t="str">
        <f t="shared" si="28"/>
        <v/>
      </c>
      <c r="G249" s="19" t="str">
        <f t="shared" si="29"/>
        <v/>
      </c>
      <c r="H249" s="19" t="str">
        <f t="shared" si="30"/>
        <v/>
      </c>
      <c r="I249" s="18" t="str">
        <f t="shared" si="32"/>
        <v/>
      </c>
      <c r="J249" s="18" t="str">
        <f t="shared" si="33"/>
        <v/>
      </c>
      <c r="K249" s="19" t="str">
        <f t="shared" si="31"/>
        <v/>
      </c>
      <c r="L249" s="19"/>
      <c r="M249" s="19"/>
      <c r="N249" s="19"/>
    </row>
    <row r="250" spans="1:14" customFormat="1">
      <c r="A250" s="20" t="str">
        <f>IF(BASE!B250=0,"",BASE!B250)</f>
        <v/>
      </c>
      <c r="B250" s="19" t="str">
        <f>IF(BASE!C250=0,"",BASE!C250)</f>
        <v/>
      </c>
      <c r="C250" s="19" t="str">
        <f>IF(BASE!D250=0,"",TRIM(BASE!D250))</f>
        <v/>
      </c>
      <c r="D250" s="21" t="str">
        <f>IFERROR(VLOOKUP(A250,AUX!A:B,2,0),"")</f>
        <v/>
      </c>
      <c r="E250" s="19" t="str">
        <f t="shared" si="27"/>
        <v/>
      </c>
      <c r="F250" s="19" t="str">
        <f t="shared" si="28"/>
        <v/>
      </c>
      <c r="G250" s="19" t="str">
        <f t="shared" si="29"/>
        <v/>
      </c>
      <c r="H250" s="19" t="str">
        <f t="shared" si="30"/>
        <v/>
      </c>
      <c r="I250" s="18" t="str">
        <f t="shared" si="32"/>
        <v/>
      </c>
      <c r="J250" s="18" t="str">
        <f t="shared" si="33"/>
        <v/>
      </c>
      <c r="K250" s="19" t="str">
        <f t="shared" si="31"/>
        <v/>
      </c>
      <c r="L250" s="19"/>
      <c r="M250" s="19"/>
      <c r="N250" s="19"/>
    </row>
    <row r="251" spans="1:14" customFormat="1">
      <c r="A251" s="20" t="str">
        <f>IF(BASE!B251=0,"",BASE!B251)</f>
        <v/>
      </c>
      <c r="B251" s="19" t="str">
        <f>IF(BASE!C251=0,"",BASE!C251)</f>
        <v/>
      </c>
      <c r="C251" s="19" t="str">
        <f>IF(BASE!D251=0,"",TRIM(BASE!D251))</f>
        <v/>
      </c>
      <c r="D251" s="21" t="str">
        <f>IFERROR(VLOOKUP(A251,AUX!A:B,2,0),"")</f>
        <v/>
      </c>
      <c r="E251" s="19" t="str">
        <f t="shared" si="27"/>
        <v/>
      </c>
      <c r="F251" s="19" t="str">
        <f t="shared" si="28"/>
        <v/>
      </c>
      <c r="G251" s="19" t="str">
        <f t="shared" si="29"/>
        <v/>
      </c>
      <c r="H251" s="19" t="str">
        <f t="shared" si="30"/>
        <v/>
      </c>
      <c r="I251" s="18" t="str">
        <f t="shared" si="32"/>
        <v/>
      </c>
      <c r="J251" s="18" t="str">
        <f t="shared" si="33"/>
        <v/>
      </c>
      <c r="K251" s="19" t="str">
        <f t="shared" si="31"/>
        <v/>
      </c>
      <c r="L251" s="19"/>
      <c r="M251" s="19"/>
      <c r="N251" s="19"/>
    </row>
    <row r="252" spans="1:14" customFormat="1">
      <c r="A252" s="20" t="str">
        <f>IF(BASE!B252=0,"",BASE!B252)</f>
        <v/>
      </c>
      <c r="B252" s="19" t="str">
        <f>IF(BASE!C252=0,"",BASE!C252)</f>
        <v/>
      </c>
      <c r="C252" s="19" t="str">
        <f>IF(BASE!D252=0,"",TRIM(BASE!D252))</f>
        <v/>
      </c>
      <c r="D252" s="21" t="str">
        <f>IFERROR(VLOOKUP(A252,AUX!A:B,2,0),"")</f>
        <v/>
      </c>
      <c r="E252" s="19" t="str">
        <f t="shared" si="27"/>
        <v/>
      </c>
      <c r="F252" s="19" t="str">
        <f t="shared" si="28"/>
        <v/>
      </c>
      <c r="G252" s="19" t="str">
        <f t="shared" si="29"/>
        <v/>
      </c>
      <c r="H252" s="19" t="str">
        <f t="shared" si="30"/>
        <v/>
      </c>
      <c r="I252" s="18" t="str">
        <f t="shared" si="32"/>
        <v/>
      </c>
      <c r="J252" s="18" t="str">
        <f t="shared" si="33"/>
        <v/>
      </c>
      <c r="K252" s="19" t="str">
        <f t="shared" si="31"/>
        <v/>
      </c>
      <c r="L252" s="19"/>
      <c r="M252" s="19"/>
      <c r="N252" s="19"/>
    </row>
    <row r="253" spans="1:14" customFormat="1">
      <c r="A253" s="20" t="str">
        <f>IF(BASE!B253=0,"",BASE!B253)</f>
        <v/>
      </c>
      <c r="B253" s="19" t="str">
        <f>IF(BASE!C253=0,"",BASE!C253)</f>
        <v/>
      </c>
      <c r="C253" s="19" t="str">
        <f>IF(BASE!D253=0,"",TRIM(BASE!D253))</f>
        <v/>
      </c>
      <c r="D253" s="21" t="str">
        <f>IFERROR(VLOOKUP(A253,AUX!A:B,2,0),"")</f>
        <v/>
      </c>
      <c r="E253" s="19" t="str">
        <f t="shared" si="27"/>
        <v/>
      </c>
      <c r="F253" s="19" t="str">
        <f t="shared" si="28"/>
        <v/>
      </c>
      <c r="G253" s="19" t="str">
        <f t="shared" si="29"/>
        <v/>
      </c>
      <c r="H253" s="19" t="str">
        <f t="shared" si="30"/>
        <v/>
      </c>
      <c r="I253" s="18" t="str">
        <f t="shared" si="32"/>
        <v/>
      </c>
      <c r="J253" s="18" t="str">
        <f t="shared" si="33"/>
        <v/>
      </c>
      <c r="K253" s="19" t="str">
        <f t="shared" si="31"/>
        <v/>
      </c>
      <c r="L253" s="19"/>
      <c r="M253" s="19"/>
      <c r="N253" s="19"/>
    </row>
    <row r="254" spans="1:14" customFormat="1">
      <c r="A254" s="20" t="str">
        <f>IF(BASE!B254=0,"",BASE!B254)</f>
        <v/>
      </c>
      <c r="B254" s="19" t="str">
        <f>IF(BASE!C254=0,"",BASE!C254)</f>
        <v/>
      </c>
      <c r="C254" s="19" t="str">
        <f>IF(BASE!D254=0,"",TRIM(BASE!D254))</f>
        <v/>
      </c>
      <c r="D254" s="21" t="str">
        <f>IFERROR(VLOOKUP(A254,AUX!A:B,2,0),"")</f>
        <v/>
      </c>
      <c r="E254" s="19" t="str">
        <f t="shared" si="27"/>
        <v/>
      </c>
      <c r="F254" s="19" t="str">
        <f t="shared" si="28"/>
        <v/>
      </c>
      <c r="G254" s="19" t="str">
        <f t="shared" si="29"/>
        <v/>
      </c>
      <c r="H254" s="19" t="str">
        <f t="shared" si="30"/>
        <v/>
      </c>
      <c r="I254" s="18" t="str">
        <f t="shared" si="32"/>
        <v/>
      </c>
      <c r="J254" s="18" t="str">
        <f t="shared" si="33"/>
        <v/>
      </c>
      <c r="K254" s="19" t="str">
        <f t="shared" si="31"/>
        <v/>
      </c>
      <c r="L254" s="19"/>
      <c r="M254" s="19"/>
      <c r="N254" s="19"/>
    </row>
    <row r="255" spans="1:14" customFormat="1">
      <c r="A255" s="20" t="str">
        <f>IF(BASE!B255=0,"",BASE!B255)</f>
        <v/>
      </c>
      <c r="B255" s="19" t="str">
        <f>IF(BASE!C255=0,"",BASE!C255)</f>
        <v/>
      </c>
      <c r="C255" s="19" t="str">
        <f>IF(BASE!D255=0,"",TRIM(BASE!D255))</f>
        <v/>
      </c>
      <c r="D255" s="21" t="str">
        <f>IFERROR(VLOOKUP(A255,AUX!A:B,2,0),"")</f>
        <v/>
      </c>
      <c r="E255" s="19" t="str">
        <f t="shared" si="27"/>
        <v/>
      </c>
      <c r="F255" s="19" t="str">
        <f t="shared" si="28"/>
        <v/>
      </c>
      <c r="G255" s="19" t="str">
        <f t="shared" si="29"/>
        <v/>
      </c>
      <c r="H255" s="19" t="str">
        <f t="shared" si="30"/>
        <v/>
      </c>
      <c r="I255" s="18" t="str">
        <f t="shared" si="32"/>
        <v/>
      </c>
      <c r="J255" s="18" t="str">
        <f t="shared" si="33"/>
        <v/>
      </c>
      <c r="K255" s="19" t="str">
        <f t="shared" si="31"/>
        <v/>
      </c>
      <c r="L255" s="19"/>
      <c r="M255" s="19"/>
      <c r="N255" s="19"/>
    </row>
    <row r="256" spans="1:14" customFormat="1">
      <c r="A256" s="20" t="str">
        <f>IF(BASE!B256=0,"",BASE!B256)</f>
        <v/>
      </c>
      <c r="B256" s="19" t="str">
        <f>IF(BASE!C256=0,"",BASE!C256)</f>
        <v/>
      </c>
      <c r="C256" s="19" t="str">
        <f>IF(BASE!D256=0,"",TRIM(BASE!D256))</f>
        <v/>
      </c>
      <c r="D256" s="21" t="str">
        <f>IFERROR(VLOOKUP(A256,AUX!A:B,2,0),"")</f>
        <v/>
      </c>
      <c r="E256" s="19" t="str">
        <f t="shared" si="27"/>
        <v/>
      </c>
      <c r="F256" s="19" t="str">
        <f t="shared" si="28"/>
        <v/>
      </c>
      <c r="G256" s="19" t="str">
        <f t="shared" si="29"/>
        <v/>
      </c>
      <c r="H256" s="19" t="str">
        <f t="shared" si="30"/>
        <v/>
      </c>
      <c r="I256" s="18" t="str">
        <f t="shared" si="32"/>
        <v/>
      </c>
      <c r="J256" s="18" t="str">
        <f t="shared" si="33"/>
        <v/>
      </c>
      <c r="K256" s="19" t="str">
        <f t="shared" si="31"/>
        <v/>
      </c>
      <c r="L256" s="19"/>
      <c r="M256" s="19"/>
      <c r="N256" s="19"/>
    </row>
    <row r="257" spans="1:14" customFormat="1">
      <c r="A257" s="20" t="str">
        <f>IF(BASE!B257=0,"",BASE!B257)</f>
        <v/>
      </c>
      <c r="B257" s="19" t="str">
        <f>IF(BASE!C257=0,"",BASE!C257)</f>
        <v/>
      </c>
      <c r="C257" s="19" t="str">
        <f>IF(BASE!D257=0,"",TRIM(BASE!D257))</f>
        <v/>
      </c>
      <c r="D257" s="21" t="str">
        <f>IFERROR(VLOOKUP(A257,AUX!A:B,2,0),"")</f>
        <v/>
      </c>
      <c r="E257" s="19" t="str">
        <f t="shared" si="27"/>
        <v/>
      </c>
      <c r="F257" s="19" t="str">
        <f t="shared" si="28"/>
        <v/>
      </c>
      <c r="G257" s="19" t="str">
        <f t="shared" si="29"/>
        <v/>
      </c>
      <c r="H257" s="19" t="str">
        <f t="shared" si="30"/>
        <v/>
      </c>
      <c r="I257" s="18" t="str">
        <f t="shared" si="32"/>
        <v/>
      </c>
      <c r="J257" s="18" t="str">
        <f t="shared" si="33"/>
        <v/>
      </c>
      <c r="K257" s="19" t="str">
        <f t="shared" si="31"/>
        <v/>
      </c>
      <c r="L257" s="19"/>
      <c r="M257" s="19"/>
      <c r="N257" s="19"/>
    </row>
    <row r="258" spans="1:14" customFormat="1">
      <c r="A258" s="20" t="str">
        <f>IF(BASE!B258=0,"",BASE!B258)</f>
        <v/>
      </c>
      <c r="B258" s="19" t="str">
        <f>IF(BASE!C258=0,"",BASE!C258)</f>
        <v/>
      </c>
      <c r="C258" s="19" t="str">
        <f>IF(BASE!D258=0,"",TRIM(BASE!D258))</f>
        <v/>
      </c>
      <c r="D258" s="21" t="str">
        <f>IFERROR(VLOOKUP(A258,AUX!A:B,2,0),"")</f>
        <v/>
      </c>
      <c r="E258" s="19" t="str">
        <f t="shared" si="27"/>
        <v/>
      </c>
      <c r="F258" s="19" t="str">
        <f t="shared" si="28"/>
        <v/>
      </c>
      <c r="G258" s="19" t="str">
        <f t="shared" si="29"/>
        <v/>
      </c>
      <c r="H258" s="19" t="str">
        <f t="shared" si="30"/>
        <v/>
      </c>
      <c r="I258" s="18" t="str">
        <f t="shared" si="32"/>
        <v/>
      </c>
      <c r="J258" s="18" t="str">
        <f t="shared" si="33"/>
        <v/>
      </c>
      <c r="K258" s="19" t="str">
        <f t="shared" si="31"/>
        <v/>
      </c>
      <c r="L258" s="19"/>
      <c r="M258" s="19"/>
      <c r="N258" s="19"/>
    </row>
    <row r="259" spans="1:14" customFormat="1">
      <c r="A259" s="20" t="str">
        <f>IF(BASE!B259=0,"",BASE!B259)</f>
        <v/>
      </c>
      <c r="B259" s="19" t="str">
        <f>IF(BASE!C259=0,"",BASE!C259)</f>
        <v/>
      </c>
      <c r="C259" s="19" t="str">
        <f>IF(BASE!D259=0,"",TRIM(BASE!D259))</f>
        <v/>
      </c>
      <c r="D259" s="21" t="str">
        <f>IFERROR(VLOOKUP(A259,AUX!A:B,2,0),"")</f>
        <v/>
      </c>
      <c r="E259" s="19" t="str">
        <f t="shared" ref="E259:E322" si="34">RIGHT(LEFT(TRIM(C259),3),2)</f>
        <v/>
      </c>
      <c r="F259" s="19" t="str">
        <f t="shared" ref="F259:F322" si="35">TRIM(RIGHT(TRIM(C259),11))</f>
        <v/>
      </c>
      <c r="G259" s="19" t="str">
        <f t="shared" ref="G259:G322" si="36">TRIM(LEFT(F259,5))</f>
        <v/>
      </c>
      <c r="H259" s="19" t="str">
        <f t="shared" ref="H259:H322" si="37">RIGHT(TRIM(F259),5)</f>
        <v/>
      </c>
      <c r="I259" s="18" t="str">
        <f t="shared" si="32"/>
        <v/>
      </c>
      <c r="J259" s="18" t="str">
        <f t="shared" si="33"/>
        <v/>
      </c>
      <c r="K259" s="19" t="str">
        <f t="shared" ref="K259:K322" si="38">IF(A259="","","Prezado (a), "&amp;J259&amp;"
Devido a um imprevisto no voo do médico, o horário do seu procedimento precisou ser alterado para "&amp;TEXT(D259,"HH:MM")&amp;".
Pedimos, por gentileza, que chegue com 15 minutos de antecedência.
Pedimos desculpas pelo transtorno, agradecemos a compreensão e permanecemos à disposição para qualquer dúvida.
Atenciosamente,
Centro de Oftalmologia Brasil")</f>
        <v/>
      </c>
      <c r="L259" s="19"/>
      <c r="M259" s="19"/>
      <c r="N259" s="19"/>
    </row>
    <row r="260" spans="1:14" customFormat="1">
      <c r="A260" s="20" t="str">
        <f>IF(BASE!B260=0,"",BASE!B260)</f>
        <v/>
      </c>
      <c r="B260" s="19" t="str">
        <f>IF(BASE!C260=0,"",BASE!C260)</f>
        <v/>
      </c>
      <c r="C260" s="19" t="str">
        <f>IF(BASE!D260=0,"",TRIM(BASE!D260))</f>
        <v/>
      </c>
      <c r="D260" s="21" t="str">
        <f>IFERROR(VLOOKUP(A260,AUX!A:B,2,0),"")</f>
        <v/>
      </c>
      <c r="E260" s="19" t="str">
        <f t="shared" si="34"/>
        <v/>
      </c>
      <c r="F260" s="19" t="str">
        <f t="shared" si="35"/>
        <v/>
      </c>
      <c r="G260" s="19" t="str">
        <f t="shared" si="36"/>
        <v/>
      </c>
      <c r="H260" s="19" t="str">
        <f t="shared" si="37"/>
        <v/>
      </c>
      <c r="I260" s="18" t="str">
        <f t="shared" si="32"/>
        <v/>
      </c>
      <c r="J260" s="18" t="str">
        <f t="shared" si="33"/>
        <v/>
      </c>
      <c r="K260" s="19" t="str">
        <f t="shared" si="38"/>
        <v/>
      </c>
      <c r="L260" s="19"/>
      <c r="M260" s="19"/>
      <c r="N260" s="19"/>
    </row>
    <row r="261" spans="1:14" customFormat="1">
      <c r="A261" s="20" t="str">
        <f>IF(BASE!B261=0,"",BASE!B261)</f>
        <v/>
      </c>
      <c r="B261" s="19" t="str">
        <f>IF(BASE!C261=0,"",BASE!C261)</f>
        <v/>
      </c>
      <c r="C261" s="19" t="str">
        <f>IF(BASE!D261=0,"",TRIM(BASE!D261))</f>
        <v/>
      </c>
      <c r="D261" s="21" t="str">
        <f>IFERROR(VLOOKUP(A261,AUX!A:B,2,0),"")</f>
        <v/>
      </c>
      <c r="E261" s="19" t="str">
        <f t="shared" si="34"/>
        <v/>
      </c>
      <c r="F261" s="19" t="str">
        <f t="shared" si="35"/>
        <v/>
      </c>
      <c r="G261" s="19" t="str">
        <f t="shared" si="36"/>
        <v/>
      </c>
      <c r="H261" s="19" t="str">
        <f t="shared" si="37"/>
        <v/>
      </c>
      <c r="I261" s="18" t="str">
        <f t="shared" si="32"/>
        <v/>
      </c>
      <c r="J261" s="18" t="str">
        <f t="shared" si="33"/>
        <v/>
      </c>
      <c r="K261" s="19" t="str">
        <f t="shared" si="38"/>
        <v/>
      </c>
      <c r="L261" s="19"/>
      <c r="M261" s="19"/>
      <c r="N261" s="19"/>
    </row>
    <row r="262" spans="1:14" customFormat="1">
      <c r="A262" s="20" t="str">
        <f>IF(BASE!B262=0,"",BASE!B262)</f>
        <v/>
      </c>
      <c r="B262" s="19" t="str">
        <f>IF(BASE!C262=0,"",BASE!C262)</f>
        <v/>
      </c>
      <c r="C262" s="19" t="str">
        <f>IF(BASE!D262=0,"",TRIM(BASE!D262))</f>
        <v/>
      </c>
      <c r="D262" s="21" t="str">
        <f>IFERROR(VLOOKUP(A262,AUX!A:B,2,0),"")</f>
        <v/>
      </c>
      <c r="E262" s="19" t="str">
        <f t="shared" si="34"/>
        <v/>
      </c>
      <c r="F262" s="19" t="str">
        <f t="shared" si="35"/>
        <v/>
      </c>
      <c r="G262" s="19" t="str">
        <f t="shared" si="36"/>
        <v/>
      </c>
      <c r="H262" s="19" t="str">
        <f t="shared" si="37"/>
        <v/>
      </c>
      <c r="I262" s="18" t="str">
        <f t="shared" si="32"/>
        <v/>
      </c>
      <c r="J262" s="18" t="str">
        <f t="shared" si="33"/>
        <v/>
      </c>
      <c r="K262" s="19" t="str">
        <f t="shared" si="38"/>
        <v/>
      </c>
      <c r="L262" s="19"/>
      <c r="M262" s="19"/>
      <c r="N262" s="19"/>
    </row>
    <row r="263" spans="1:14" customFormat="1">
      <c r="A263" s="20" t="str">
        <f>IF(BASE!B263=0,"",BASE!B263)</f>
        <v/>
      </c>
      <c r="B263" s="19" t="str">
        <f>IF(BASE!C263=0,"",BASE!C263)</f>
        <v/>
      </c>
      <c r="C263" s="19" t="str">
        <f>IF(BASE!D263=0,"",TRIM(BASE!D263))</f>
        <v/>
      </c>
      <c r="D263" s="21" t="str">
        <f>IFERROR(VLOOKUP(A263,AUX!A:B,2,0),"")</f>
        <v/>
      </c>
      <c r="E263" s="19" t="str">
        <f t="shared" si="34"/>
        <v/>
      </c>
      <c r="F263" s="19" t="str">
        <f t="shared" si="35"/>
        <v/>
      </c>
      <c r="G263" s="19" t="str">
        <f t="shared" si="36"/>
        <v/>
      </c>
      <c r="H263" s="19" t="str">
        <f t="shared" si="37"/>
        <v/>
      </c>
      <c r="I263" s="18" t="str">
        <f t="shared" si="32"/>
        <v/>
      </c>
      <c r="J263" s="18" t="str">
        <f t="shared" si="33"/>
        <v/>
      </c>
      <c r="K263" s="19" t="str">
        <f t="shared" si="38"/>
        <v/>
      </c>
      <c r="L263" s="19"/>
      <c r="M263" s="19"/>
      <c r="N263" s="19"/>
    </row>
    <row r="264" spans="1:14" customFormat="1">
      <c r="A264" s="20" t="str">
        <f>IF(BASE!B264=0,"",BASE!B264)</f>
        <v/>
      </c>
      <c r="B264" s="19" t="str">
        <f>IF(BASE!C264=0,"",BASE!C264)</f>
        <v/>
      </c>
      <c r="C264" s="19" t="str">
        <f>IF(BASE!D264=0,"",TRIM(BASE!D264))</f>
        <v/>
      </c>
      <c r="D264" s="21" t="str">
        <f>IFERROR(VLOOKUP(A264,AUX!A:B,2,0),"")</f>
        <v/>
      </c>
      <c r="E264" s="19" t="str">
        <f t="shared" si="34"/>
        <v/>
      </c>
      <c r="F264" s="19" t="str">
        <f t="shared" si="35"/>
        <v/>
      </c>
      <c r="G264" s="19" t="str">
        <f t="shared" si="36"/>
        <v/>
      </c>
      <c r="H264" s="19" t="str">
        <f t="shared" si="37"/>
        <v/>
      </c>
      <c r="I264" s="18" t="str">
        <f t="shared" si="32"/>
        <v/>
      </c>
      <c r="J264" s="18" t="str">
        <f t="shared" si="33"/>
        <v/>
      </c>
      <c r="K264" s="19" t="str">
        <f t="shared" si="38"/>
        <v/>
      </c>
      <c r="L264" s="19"/>
      <c r="M264" s="19"/>
      <c r="N264" s="19"/>
    </row>
    <row r="265" spans="1:14" customFormat="1">
      <c r="A265" s="20" t="str">
        <f>IF(BASE!B265=0,"",BASE!B265)</f>
        <v/>
      </c>
      <c r="B265" s="19" t="str">
        <f>IF(BASE!C265=0,"",BASE!C265)</f>
        <v/>
      </c>
      <c r="C265" s="19" t="str">
        <f>IF(BASE!D265=0,"",TRIM(BASE!D265))</f>
        <v/>
      </c>
      <c r="D265" s="21" t="str">
        <f>IFERROR(VLOOKUP(A265,AUX!A:B,2,0),"")</f>
        <v/>
      </c>
      <c r="E265" s="19" t="str">
        <f t="shared" si="34"/>
        <v/>
      </c>
      <c r="F265" s="19" t="str">
        <f t="shared" si="35"/>
        <v/>
      </c>
      <c r="G265" s="19" t="str">
        <f t="shared" si="36"/>
        <v/>
      </c>
      <c r="H265" s="19" t="str">
        <f t="shared" si="37"/>
        <v/>
      </c>
      <c r="I265" s="18" t="str">
        <f t="shared" si="32"/>
        <v/>
      </c>
      <c r="J265" s="18" t="str">
        <f t="shared" si="33"/>
        <v/>
      </c>
      <c r="K265" s="19" t="str">
        <f t="shared" si="38"/>
        <v/>
      </c>
      <c r="L265" s="19"/>
      <c r="M265" s="19"/>
      <c r="N265" s="19"/>
    </row>
    <row r="266" spans="1:14" customFormat="1">
      <c r="A266" s="20" t="str">
        <f>IF(BASE!B266=0,"",BASE!B266)</f>
        <v/>
      </c>
      <c r="B266" s="19" t="str">
        <f>IF(BASE!C266=0,"",BASE!C266)</f>
        <v/>
      </c>
      <c r="C266" s="19" t="str">
        <f>IF(BASE!D266=0,"",TRIM(BASE!D266))</f>
        <v/>
      </c>
      <c r="D266" s="21" t="str">
        <f>IFERROR(VLOOKUP(A266,AUX!A:B,2,0),"")</f>
        <v/>
      </c>
      <c r="E266" s="19" t="str">
        <f t="shared" si="34"/>
        <v/>
      </c>
      <c r="F266" s="19" t="str">
        <f t="shared" si="35"/>
        <v/>
      </c>
      <c r="G266" s="19" t="str">
        <f t="shared" si="36"/>
        <v/>
      </c>
      <c r="H266" s="19" t="str">
        <f t="shared" si="37"/>
        <v/>
      </c>
      <c r="I266" s="18" t="str">
        <f t="shared" si="32"/>
        <v/>
      </c>
      <c r="J266" s="18" t="str">
        <f t="shared" si="33"/>
        <v/>
      </c>
      <c r="K266" s="19" t="str">
        <f t="shared" si="38"/>
        <v/>
      </c>
      <c r="L266" s="19"/>
      <c r="M266" s="19"/>
      <c r="N266" s="19"/>
    </row>
    <row r="267" spans="1:14" customFormat="1">
      <c r="A267" s="20" t="str">
        <f>IF(BASE!B267=0,"",BASE!B267)</f>
        <v/>
      </c>
      <c r="B267" s="19" t="str">
        <f>IF(BASE!C267=0,"",BASE!C267)</f>
        <v/>
      </c>
      <c r="C267" s="19" t="str">
        <f>IF(BASE!D267=0,"",TRIM(BASE!D267))</f>
        <v/>
      </c>
      <c r="D267" s="21" t="str">
        <f>IFERROR(VLOOKUP(A267,AUX!A:B,2,0),"")</f>
        <v/>
      </c>
      <c r="E267" s="19" t="str">
        <f t="shared" si="34"/>
        <v/>
      </c>
      <c r="F267" s="19" t="str">
        <f t="shared" si="35"/>
        <v/>
      </c>
      <c r="G267" s="19" t="str">
        <f t="shared" si="36"/>
        <v/>
      </c>
      <c r="H267" s="19" t="str">
        <f t="shared" si="37"/>
        <v/>
      </c>
      <c r="I267" s="18" t="str">
        <f t="shared" si="32"/>
        <v/>
      </c>
      <c r="J267" s="18" t="str">
        <f t="shared" si="33"/>
        <v/>
      </c>
      <c r="K267" s="19" t="str">
        <f t="shared" si="38"/>
        <v/>
      </c>
      <c r="L267" s="19"/>
      <c r="M267" s="19"/>
      <c r="N267" s="19"/>
    </row>
    <row r="268" spans="1:14" customFormat="1">
      <c r="A268" s="20" t="str">
        <f>IF(BASE!B268=0,"",BASE!B268)</f>
        <v/>
      </c>
      <c r="B268" s="19" t="str">
        <f>IF(BASE!C268=0,"",BASE!C268)</f>
        <v/>
      </c>
      <c r="C268" s="19" t="str">
        <f>IF(BASE!D268=0,"",TRIM(BASE!D268))</f>
        <v/>
      </c>
      <c r="D268" s="21" t="str">
        <f>IFERROR(VLOOKUP(A268,AUX!A:B,2,0),"")</f>
        <v/>
      </c>
      <c r="E268" s="19" t="str">
        <f t="shared" si="34"/>
        <v/>
      </c>
      <c r="F268" s="19" t="str">
        <f t="shared" si="35"/>
        <v/>
      </c>
      <c r="G268" s="19" t="str">
        <f t="shared" si="36"/>
        <v/>
      </c>
      <c r="H268" s="19" t="str">
        <f t="shared" si="37"/>
        <v/>
      </c>
      <c r="I268" s="18" t="str">
        <f t="shared" si="32"/>
        <v/>
      </c>
      <c r="J268" s="18" t="str">
        <f t="shared" si="33"/>
        <v/>
      </c>
      <c r="K268" s="19" t="str">
        <f t="shared" si="38"/>
        <v/>
      </c>
      <c r="L268" s="19"/>
      <c r="M268" s="19"/>
      <c r="N268" s="19"/>
    </row>
    <row r="269" spans="1:14" customFormat="1">
      <c r="A269" s="20" t="str">
        <f>IF(BASE!B269=0,"",BASE!B269)</f>
        <v/>
      </c>
      <c r="B269" s="19" t="str">
        <f>IF(BASE!C269=0,"",BASE!C269)</f>
        <v/>
      </c>
      <c r="C269" s="19" t="str">
        <f>IF(BASE!D269=0,"",TRIM(BASE!D269))</f>
        <v/>
      </c>
      <c r="D269" s="21" t="str">
        <f>IFERROR(VLOOKUP(A269,AUX!A:B,2,0),"")</f>
        <v/>
      </c>
      <c r="E269" s="19" t="str">
        <f t="shared" si="34"/>
        <v/>
      </c>
      <c r="F269" s="19" t="str">
        <f t="shared" si="35"/>
        <v/>
      </c>
      <c r="G269" s="19" t="str">
        <f t="shared" si="36"/>
        <v/>
      </c>
      <c r="H269" s="19" t="str">
        <f t="shared" si="37"/>
        <v/>
      </c>
      <c r="I269" s="18" t="str">
        <f t="shared" si="32"/>
        <v/>
      </c>
      <c r="J269" s="18" t="str">
        <f t="shared" si="33"/>
        <v/>
      </c>
      <c r="K269" s="19" t="str">
        <f t="shared" si="38"/>
        <v/>
      </c>
      <c r="L269" s="19"/>
      <c r="M269" s="19"/>
      <c r="N269" s="19"/>
    </row>
    <row r="270" spans="1:14" customFormat="1">
      <c r="A270" s="20" t="str">
        <f>IF(BASE!B270=0,"",BASE!B270)</f>
        <v/>
      </c>
      <c r="B270" s="19" t="str">
        <f>IF(BASE!C270=0,"",BASE!C270)</f>
        <v/>
      </c>
      <c r="C270" s="19" t="str">
        <f>IF(BASE!D270=0,"",TRIM(BASE!D270))</f>
        <v/>
      </c>
      <c r="D270" s="21" t="str">
        <f>IFERROR(VLOOKUP(A270,AUX!A:B,2,0),"")</f>
        <v/>
      </c>
      <c r="E270" s="19" t="str">
        <f t="shared" si="34"/>
        <v/>
      </c>
      <c r="F270" s="19" t="str">
        <f t="shared" si="35"/>
        <v/>
      </c>
      <c r="G270" s="19" t="str">
        <f t="shared" si="36"/>
        <v/>
      </c>
      <c r="H270" s="19" t="str">
        <f t="shared" si="37"/>
        <v/>
      </c>
      <c r="I270" s="18" t="str">
        <f t="shared" si="32"/>
        <v/>
      </c>
      <c r="J270" s="18" t="str">
        <f t="shared" si="33"/>
        <v/>
      </c>
      <c r="K270" s="19" t="str">
        <f t="shared" si="38"/>
        <v/>
      </c>
      <c r="L270" s="19"/>
      <c r="M270" s="19"/>
      <c r="N270" s="19"/>
    </row>
    <row r="271" spans="1:14" customFormat="1">
      <c r="A271" s="20" t="str">
        <f>IF(BASE!B271=0,"",BASE!B271)</f>
        <v/>
      </c>
      <c r="B271" s="19" t="str">
        <f>IF(BASE!C271=0,"",BASE!C271)</f>
        <v/>
      </c>
      <c r="C271" s="19" t="str">
        <f>IF(BASE!D271=0,"",TRIM(BASE!D271))</f>
        <v/>
      </c>
      <c r="D271" s="21" t="str">
        <f>IFERROR(VLOOKUP(A271,AUX!A:B,2,0),"")</f>
        <v/>
      </c>
      <c r="E271" s="19" t="str">
        <f t="shared" si="34"/>
        <v/>
      </c>
      <c r="F271" s="19" t="str">
        <f t="shared" si="35"/>
        <v/>
      </c>
      <c r="G271" s="19" t="str">
        <f t="shared" si="36"/>
        <v/>
      </c>
      <c r="H271" s="19" t="str">
        <f t="shared" si="37"/>
        <v/>
      </c>
      <c r="I271" s="18" t="str">
        <f t="shared" si="32"/>
        <v/>
      </c>
      <c r="J271" s="18" t="str">
        <f t="shared" si="33"/>
        <v/>
      </c>
      <c r="K271" s="19" t="str">
        <f t="shared" si="38"/>
        <v/>
      </c>
      <c r="L271" s="19"/>
      <c r="M271" s="19"/>
      <c r="N271" s="19"/>
    </row>
    <row r="272" spans="1:14" customFormat="1">
      <c r="A272" s="20" t="str">
        <f>IF(BASE!B272=0,"",BASE!B272)</f>
        <v/>
      </c>
      <c r="B272" s="19" t="str">
        <f>IF(BASE!C272=0,"",BASE!C272)</f>
        <v/>
      </c>
      <c r="C272" s="19" t="str">
        <f>IF(BASE!D272=0,"",TRIM(BASE!D272))</f>
        <v/>
      </c>
      <c r="D272" s="21" t="str">
        <f>IFERROR(VLOOKUP(A272,AUX!A:B,2,0),"")</f>
        <v/>
      </c>
      <c r="E272" s="19" t="str">
        <f t="shared" si="34"/>
        <v/>
      </c>
      <c r="F272" s="19" t="str">
        <f t="shared" si="35"/>
        <v/>
      </c>
      <c r="G272" s="19" t="str">
        <f t="shared" si="36"/>
        <v/>
      </c>
      <c r="H272" s="19" t="str">
        <f t="shared" si="37"/>
        <v/>
      </c>
      <c r="I272" s="18" t="str">
        <f t="shared" si="32"/>
        <v/>
      </c>
      <c r="J272" s="18" t="str">
        <f t="shared" si="33"/>
        <v/>
      </c>
      <c r="K272" s="19" t="str">
        <f t="shared" si="38"/>
        <v/>
      </c>
      <c r="L272" s="19"/>
      <c r="M272" s="19"/>
      <c r="N272" s="19"/>
    </row>
    <row r="273" spans="1:14" customFormat="1">
      <c r="A273" s="20" t="str">
        <f>IF(BASE!B273=0,"",BASE!B273)</f>
        <v/>
      </c>
      <c r="B273" s="19" t="str">
        <f>IF(BASE!C273=0,"",BASE!C273)</f>
        <v/>
      </c>
      <c r="C273" s="19" t="str">
        <f>IF(BASE!D273=0,"",TRIM(BASE!D273))</f>
        <v/>
      </c>
      <c r="D273" s="21" t="str">
        <f>IFERROR(VLOOKUP(A273,AUX!A:B,2,0),"")</f>
        <v/>
      </c>
      <c r="E273" s="19" t="str">
        <f t="shared" si="34"/>
        <v/>
      </c>
      <c r="F273" s="19" t="str">
        <f t="shared" si="35"/>
        <v/>
      </c>
      <c r="G273" s="19" t="str">
        <f t="shared" si="36"/>
        <v/>
      </c>
      <c r="H273" s="19" t="str">
        <f t="shared" si="37"/>
        <v/>
      </c>
      <c r="I273" s="18" t="str">
        <f t="shared" si="32"/>
        <v/>
      </c>
      <c r="J273" s="18" t="str">
        <f t="shared" si="33"/>
        <v/>
      </c>
      <c r="K273" s="19" t="str">
        <f t="shared" si="38"/>
        <v/>
      </c>
      <c r="L273" s="19"/>
      <c r="M273" s="19"/>
      <c r="N273" s="19"/>
    </row>
    <row r="274" spans="1:14" customFormat="1">
      <c r="A274" s="20" t="str">
        <f>IF(BASE!B274=0,"",BASE!B274)</f>
        <v/>
      </c>
      <c r="B274" s="19" t="str">
        <f>IF(BASE!C274=0,"",BASE!C274)</f>
        <v/>
      </c>
      <c r="C274" s="19" t="str">
        <f>IF(BASE!D274=0,"",TRIM(BASE!D274))</f>
        <v/>
      </c>
      <c r="D274" s="21" t="str">
        <f>IFERROR(VLOOKUP(A274,AUX!A:B,2,0),"")</f>
        <v/>
      </c>
      <c r="E274" s="19" t="str">
        <f t="shared" si="34"/>
        <v/>
      </c>
      <c r="F274" s="19" t="str">
        <f t="shared" si="35"/>
        <v/>
      </c>
      <c r="G274" s="19" t="str">
        <f t="shared" si="36"/>
        <v/>
      </c>
      <c r="H274" s="19" t="str">
        <f t="shared" si="37"/>
        <v/>
      </c>
      <c r="I274" s="18" t="str">
        <f t="shared" si="32"/>
        <v/>
      </c>
      <c r="J274" s="18" t="str">
        <f t="shared" si="33"/>
        <v/>
      </c>
      <c r="K274" s="19" t="str">
        <f t="shared" si="38"/>
        <v/>
      </c>
      <c r="L274" s="19"/>
      <c r="M274" s="19"/>
      <c r="N274" s="19"/>
    </row>
    <row r="275" spans="1:14" customFormat="1">
      <c r="A275" s="20" t="str">
        <f>IF(BASE!B275=0,"",BASE!B275)</f>
        <v/>
      </c>
      <c r="B275" s="19" t="str">
        <f>IF(BASE!C275=0,"",BASE!C275)</f>
        <v/>
      </c>
      <c r="C275" s="19" t="str">
        <f>IF(BASE!D275=0,"",TRIM(BASE!D275))</f>
        <v/>
      </c>
      <c r="D275" s="21" t="str">
        <f>IFERROR(VLOOKUP(A275,AUX!A:B,2,0),"")</f>
        <v/>
      </c>
      <c r="E275" s="19" t="str">
        <f t="shared" si="34"/>
        <v/>
      </c>
      <c r="F275" s="19" t="str">
        <f t="shared" si="35"/>
        <v/>
      </c>
      <c r="G275" s="19" t="str">
        <f t="shared" si="36"/>
        <v/>
      </c>
      <c r="H275" s="19" t="str">
        <f t="shared" si="37"/>
        <v/>
      </c>
      <c r="I275" s="18" t="str">
        <f t="shared" si="32"/>
        <v/>
      </c>
      <c r="J275" s="18" t="str">
        <f t="shared" si="33"/>
        <v/>
      </c>
      <c r="K275" s="19" t="str">
        <f t="shared" si="38"/>
        <v/>
      </c>
      <c r="L275" s="19"/>
      <c r="M275" s="19"/>
      <c r="N275" s="19"/>
    </row>
    <row r="276" spans="1:14" customFormat="1">
      <c r="A276" s="20" t="str">
        <f>IF(BASE!B276=0,"",BASE!B276)</f>
        <v/>
      </c>
      <c r="B276" s="19" t="str">
        <f>IF(BASE!C276=0,"",BASE!C276)</f>
        <v/>
      </c>
      <c r="C276" s="19" t="str">
        <f>IF(BASE!D276=0,"",TRIM(BASE!D276))</f>
        <v/>
      </c>
      <c r="D276" s="21" t="str">
        <f>IFERROR(VLOOKUP(A276,AUX!A:B,2,0),"")</f>
        <v/>
      </c>
      <c r="E276" s="19" t="str">
        <f t="shared" si="34"/>
        <v/>
      </c>
      <c r="F276" s="19" t="str">
        <f t="shared" si="35"/>
        <v/>
      </c>
      <c r="G276" s="19" t="str">
        <f t="shared" si="36"/>
        <v/>
      </c>
      <c r="H276" s="19" t="str">
        <f t="shared" si="37"/>
        <v/>
      </c>
      <c r="I276" s="18" t="str">
        <f t="shared" si="32"/>
        <v/>
      </c>
      <c r="J276" s="18" t="str">
        <f t="shared" si="33"/>
        <v/>
      </c>
      <c r="K276" s="19" t="str">
        <f t="shared" si="38"/>
        <v/>
      </c>
      <c r="L276" s="19"/>
      <c r="M276" s="19"/>
      <c r="N276" s="19"/>
    </row>
    <row r="277" spans="1:14" customFormat="1">
      <c r="A277" s="20" t="str">
        <f>IF(BASE!B277=0,"",BASE!B277)</f>
        <v/>
      </c>
      <c r="B277" s="19" t="str">
        <f>IF(BASE!C277=0,"",BASE!C277)</f>
        <v/>
      </c>
      <c r="C277" s="19" t="str">
        <f>IF(BASE!D277=0,"",TRIM(BASE!D277))</f>
        <v/>
      </c>
      <c r="D277" s="21" t="str">
        <f>IFERROR(VLOOKUP(A277,AUX!A:B,2,0),"")</f>
        <v/>
      </c>
      <c r="E277" s="19" t="str">
        <f t="shared" si="34"/>
        <v/>
      </c>
      <c r="F277" s="19" t="str">
        <f t="shared" si="35"/>
        <v/>
      </c>
      <c r="G277" s="19" t="str">
        <f t="shared" si="36"/>
        <v/>
      </c>
      <c r="H277" s="19" t="str">
        <f t="shared" si="37"/>
        <v/>
      </c>
      <c r="I277" s="18" t="str">
        <f t="shared" si="32"/>
        <v/>
      </c>
      <c r="J277" s="18" t="str">
        <f t="shared" si="33"/>
        <v/>
      </c>
      <c r="K277" s="19" t="str">
        <f t="shared" si="38"/>
        <v/>
      </c>
      <c r="L277" s="19"/>
      <c r="M277" s="19"/>
      <c r="N277" s="19"/>
    </row>
    <row r="278" spans="1:14" customFormat="1">
      <c r="A278" s="20" t="str">
        <f>IF(BASE!B278=0,"",BASE!B278)</f>
        <v/>
      </c>
      <c r="B278" s="19" t="str">
        <f>IF(BASE!C278=0,"",BASE!C278)</f>
        <v/>
      </c>
      <c r="C278" s="19" t="str">
        <f>IF(BASE!D278=0,"",TRIM(BASE!D278))</f>
        <v/>
      </c>
      <c r="D278" s="21" t="str">
        <f>IFERROR(VLOOKUP(A278,AUX!A:B,2,0),"")</f>
        <v/>
      </c>
      <c r="E278" s="19" t="str">
        <f t="shared" si="34"/>
        <v/>
      </c>
      <c r="F278" s="19" t="str">
        <f t="shared" si="35"/>
        <v/>
      </c>
      <c r="G278" s="19" t="str">
        <f t="shared" si="36"/>
        <v/>
      </c>
      <c r="H278" s="19" t="str">
        <f t="shared" si="37"/>
        <v/>
      </c>
      <c r="I278" s="18" t="str">
        <f t="shared" si="32"/>
        <v/>
      </c>
      <c r="J278" s="18" t="str">
        <f t="shared" si="33"/>
        <v/>
      </c>
      <c r="K278" s="19" t="str">
        <f t="shared" si="38"/>
        <v/>
      </c>
      <c r="L278" s="19"/>
      <c r="M278" s="19"/>
      <c r="N278" s="19"/>
    </row>
    <row r="279" spans="1:14" customFormat="1">
      <c r="A279" s="20" t="str">
        <f>IF(BASE!B279=0,"",BASE!B279)</f>
        <v/>
      </c>
      <c r="B279" s="19" t="str">
        <f>IF(BASE!C279=0,"",BASE!C279)</f>
        <v/>
      </c>
      <c r="C279" s="19" t="str">
        <f>IF(BASE!D279=0,"",TRIM(BASE!D279))</f>
        <v/>
      </c>
      <c r="D279" s="21" t="str">
        <f>IFERROR(VLOOKUP(A279,AUX!A:B,2,0),"")</f>
        <v/>
      </c>
      <c r="E279" s="19" t="str">
        <f t="shared" si="34"/>
        <v/>
      </c>
      <c r="F279" s="19" t="str">
        <f t="shared" si="35"/>
        <v/>
      </c>
      <c r="G279" s="19" t="str">
        <f t="shared" si="36"/>
        <v/>
      </c>
      <c r="H279" s="19" t="str">
        <f t="shared" si="37"/>
        <v/>
      </c>
      <c r="I279" s="18" t="str">
        <f t="shared" si="32"/>
        <v/>
      </c>
      <c r="J279" s="18" t="str">
        <f t="shared" si="33"/>
        <v/>
      </c>
      <c r="K279" s="19" t="str">
        <f t="shared" si="38"/>
        <v/>
      </c>
      <c r="L279" s="19"/>
      <c r="M279" s="19"/>
      <c r="N279" s="19"/>
    </row>
    <row r="280" spans="1:14" customFormat="1">
      <c r="A280" s="20" t="str">
        <f>IF(BASE!B280=0,"",BASE!B280)</f>
        <v/>
      </c>
      <c r="B280" s="19" t="str">
        <f>IF(BASE!C280=0,"",BASE!C280)</f>
        <v/>
      </c>
      <c r="C280" s="19" t="str">
        <f>IF(BASE!D280=0,"",TRIM(BASE!D280))</f>
        <v/>
      </c>
      <c r="D280" s="21" t="str">
        <f>IFERROR(VLOOKUP(A280,AUX!A:B,2,0),"")</f>
        <v/>
      </c>
      <c r="E280" s="19" t="str">
        <f t="shared" si="34"/>
        <v/>
      </c>
      <c r="F280" s="19" t="str">
        <f t="shared" si="35"/>
        <v/>
      </c>
      <c r="G280" s="19" t="str">
        <f t="shared" si="36"/>
        <v/>
      </c>
      <c r="H280" s="19" t="str">
        <f t="shared" si="37"/>
        <v/>
      </c>
      <c r="I280" s="18" t="str">
        <f t="shared" si="32"/>
        <v/>
      </c>
      <c r="J280" s="18" t="str">
        <f t="shared" si="33"/>
        <v/>
      </c>
      <c r="K280" s="19" t="str">
        <f t="shared" si="38"/>
        <v/>
      </c>
      <c r="L280" s="19"/>
      <c r="M280" s="19"/>
      <c r="N280" s="19"/>
    </row>
    <row r="281" spans="1:14" customFormat="1">
      <c r="A281" s="20" t="str">
        <f>IF(BASE!B281=0,"",BASE!B281)</f>
        <v/>
      </c>
      <c r="B281" s="19" t="str">
        <f>IF(BASE!C281=0,"",BASE!C281)</f>
        <v/>
      </c>
      <c r="C281" s="19" t="str">
        <f>IF(BASE!D281=0,"",TRIM(BASE!D281))</f>
        <v/>
      </c>
      <c r="D281" s="21" t="str">
        <f>IFERROR(VLOOKUP(A281,AUX!A:B,2,0),"")</f>
        <v/>
      </c>
      <c r="E281" s="19" t="str">
        <f t="shared" si="34"/>
        <v/>
      </c>
      <c r="F281" s="19" t="str">
        <f t="shared" si="35"/>
        <v/>
      </c>
      <c r="G281" s="19" t="str">
        <f t="shared" si="36"/>
        <v/>
      </c>
      <c r="H281" s="19" t="str">
        <f t="shared" si="37"/>
        <v/>
      </c>
      <c r="I281" s="18" t="str">
        <f t="shared" si="32"/>
        <v/>
      </c>
      <c r="J281" s="18" t="str">
        <f t="shared" si="33"/>
        <v/>
      </c>
      <c r="K281" s="19" t="str">
        <f t="shared" si="38"/>
        <v/>
      </c>
      <c r="L281" s="19"/>
      <c r="M281" s="19"/>
      <c r="N281" s="19"/>
    </row>
    <row r="282" spans="1:14" customFormat="1">
      <c r="A282" s="20" t="str">
        <f>IF(BASE!B282=0,"",BASE!B282)</f>
        <v/>
      </c>
      <c r="B282" s="19" t="str">
        <f>IF(BASE!C282=0,"",BASE!C282)</f>
        <v/>
      </c>
      <c r="C282" s="19" t="str">
        <f>IF(BASE!D282=0,"",TRIM(BASE!D282))</f>
        <v/>
      </c>
      <c r="D282" s="21" t="str">
        <f>IFERROR(VLOOKUP(A282,AUX!A:B,2,0),"")</f>
        <v/>
      </c>
      <c r="E282" s="19" t="str">
        <f t="shared" si="34"/>
        <v/>
      </c>
      <c r="F282" s="19" t="str">
        <f t="shared" si="35"/>
        <v/>
      </c>
      <c r="G282" s="19" t="str">
        <f t="shared" si="36"/>
        <v/>
      </c>
      <c r="H282" s="19" t="str">
        <f t="shared" si="37"/>
        <v/>
      </c>
      <c r="I282" s="18" t="str">
        <f t="shared" si="32"/>
        <v/>
      </c>
      <c r="J282" s="18" t="str">
        <f t="shared" si="33"/>
        <v/>
      </c>
      <c r="K282" s="19" t="str">
        <f t="shared" si="38"/>
        <v/>
      </c>
      <c r="L282" s="19"/>
      <c r="M282" s="19"/>
      <c r="N282" s="19"/>
    </row>
    <row r="283" spans="1:14" customFormat="1">
      <c r="A283" s="20" t="str">
        <f>IF(BASE!B283=0,"",BASE!B283)</f>
        <v/>
      </c>
      <c r="B283" s="19" t="str">
        <f>IF(BASE!C283=0,"",BASE!C283)</f>
        <v/>
      </c>
      <c r="C283" s="19" t="str">
        <f>IF(BASE!D283=0,"",TRIM(BASE!D283))</f>
        <v/>
      </c>
      <c r="D283" s="21" t="str">
        <f>IFERROR(VLOOKUP(A283,AUX!A:B,2,0),"")</f>
        <v/>
      </c>
      <c r="E283" s="19" t="str">
        <f t="shared" si="34"/>
        <v/>
      </c>
      <c r="F283" s="19" t="str">
        <f t="shared" si="35"/>
        <v/>
      </c>
      <c r="G283" s="19" t="str">
        <f t="shared" si="36"/>
        <v/>
      </c>
      <c r="H283" s="19" t="str">
        <f t="shared" si="37"/>
        <v/>
      </c>
      <c r="I283" s="18" t="str">
        <f t="shared" si="32"/>
        <v/>
      </c>
      <c r="J283" s="18" t="str">
        <f t="shared" si="33"/>
        <v/>
      </c>
      <c r="K283" s="19" t="str">
        <f t="shared" si="38"/>
        <v/>
      </c>
      <c r="L283" s="19"/>
      <c r="M283" s="19"/>
      <c r="N283" s="19"/>
    </row>
    <row r="284" spans="1:14" customFormat="1">
      <c r="A284" s="20" t="str">
        <f>IF(BASE!B284=0,"",BASE!B284)</f>
        <v/>
      </c>
      <c r="B284" s="19" t="str">
        <f>IF(BASE!C284=0,"",BASE!C284)</f>
        <v/>
      </c>
      <c r="C284" s="19" t="str">
        <f>IF(BASE!D284=0,"",TRIM(BASE!D284))</f>
        <v/>
      </c>
      <c r="D284" s="21" t="str">
        <f>IFERROR(VLOOKUP(A284,AUX!A:B,2,0),"")</f>
        <v/>
      </c>
      <c r="E284" s="19" t="str">
        <f t="shared" si="34"/>
        <v/>
      </c>
      <c r="F284" s="19" t="str">
        <f t="shared" si="35"/>
        <v/>
      </c>
      <c r="G284" s="19" t="str">
        <f t="shared" si="36"/>
        <v/>
      </c>
      <c r="H284" s="19" t="str">
        <f t="shared" si="37"/>
        <v/>
      </c>
      <c r="I284" s="18" t="str">
        <f t="shared" si="32"/>
        <v/>
      </c>
      <c r="J284" s="18" t="str">
        <f t="shared" si="33"/>
        <v/>
      </c>
      <c r="K284" s="19" t="str">
        <f t="shared" si="38"/>
        <v/>
      </c>
      <c r="L284" s="19"/>
      <c r="M284" s="19"/>
      <c r="N284" s="19"/>
    </row>
    <row r="285" spans="1:14" customFormat="1">
      <c r="A285" s="20" t="str">
        <f>IF(BASE!B285=0,"",BASE!B285)</f>
        <v/>
      </c>
      <c r="B285" s="19" t="str">
        <f>IF(BASE!C285=0,"",BASE!C285)</f>
        <v/>
      </c>
      <c r="C285" s="19" t="str">
        <f>IF(BASE!D285=0,"",TRIM(BASE!D285))</f>
        <v/>
      </c>
      <c r="D285" s="21" t="str">
        <f>IFERROR(VLOOKUP(A285,AUX!A:B,2,0),"")</f>
        <v/>
      </c>
      <c r="E285" s="19" t="str">
        <f t="shared" si="34"/>
        <v/>
      </c>
      <c r="F285" s="19" t="str">
        <f t="shared" si="35"/>
        <v/>
      </c>
      <c r="G285" s="19" t="str">
        <f t="shared" si="36"/>
        <v/>
      </c>
      <c r="H285" s="19" t="str">
        <f t="shared" si="37"/>
        <v/>
      </c>
      <c r="I285" s="18" t="str">
        <f t="shared" si="32"/>
        <v/>
      </c>
      <c r="J285" s="18" t="str">
        <f t="shared" si="33"/>
        <v/>
      </c>
      <c r="K285" s="19" t="str">
        <f t="shared" si="38"/>
        <v/>
      </c>
      <c r="L285" s="19"/>
      <c r="M285" s="19"/>
      <c r="N285" s="19"/>
    </row>
    <row r="286" spans="1:14" customFormat="1">
      <c r="A286" s="20" t="str">
        <f>IF(BASE!B286=0,"",BASE!B286)</f>
        <v/>
      </c>
      <c r="B286" s="19" t="str">
        <f>IF(BASE!C286=0,"",BASE!C286)</f>
        <v/>
      </c>
      <c r="C286" s="19" t="str">
        <f>IF(BASE!D286=0,"",TRIM(BASE!D286))</f>
        <v/>
      </c>
      <c r="D286" s="21" t="str">
        <f>IFERROR(VLOOKUP(A286,AUX!A:B,2,0),"")</f>
        <v/>
      </c>
      <c r="E286" s="19" t="str">
        <f t="shared" si="34"/>
        <v/>
      </c>
      <c r="F286" s="19" t="str">
        <f t="shared" si="35"/>
        <v/>
      </c>
      <c r="G286" s="19" t="str">
        <f t="shared" si="36"/>
        <v/>
      </c>
      <c r="H286" s="19" t="str">
        <f t="shared" si="37"/>
        <v/>
      </c>
      <c r="I286" s="18" t="str">
        <f t="shared" si="32"/>
        <v/>
      </c>
      <c r="J286" s="18" t="str">
        <f t="shared" si="33"/>
        <v/>
      </c>
      <c r="K286" s="19" t="str">
        <f t="shared" si="38"/>
        <v/>
      </c>
      <c r="L286" s="19"/>
      <c r="M286" s="19"/>
      <c r="N286" s="19"/>
    </row>
    <row r="287" spans="1:14" customFormat="1">
      <c r="A287" s="20" t="str">
        <f>IF(BASE!B287=0,"",BASE!B287)</f>
        <v/>
      </c>
      <c r="B287" s="19" t="str">
        <f>IF(BASE!C287=0,"",BASE!C287)</f>
        <v/>
      </c>
      <c r="C287" s="19" t="str">
        <f>IF(BASE!D287=0,"",TRIM(BASE!D287))</f>
        <v/>
      </c>
      <c r="D287" s="21" t="str">
        <f>IFERROR(VLOOKUP(A287,AUX!A:B,2,0),"")</f>
        <v/>
      </c>
      <c r="E287" s="19" t="str">
        <f t="shared" si="34"/>
        <v/>
      </c>
      <c r="F287" s="19" t="str">
        <f t="shared" si="35"/>
        <v/>
      </c>
      <c r="G287" s="19" t="str">
        <f t="shared" si="36"/>
        <v/>
      </c>
      <c r="H287" s="19" t="str">
        <f t="shared" si="37"/>
        <v/>
      </c>
      <c r="I287" s="18" t="str">
        <f t="shared" si="32"/>
        <v/>
      </c>
      <c r="J287" s="18" t="str">
        <f t="shared" si="33"/>
        <v/>
      </c>
      <c r="K287" s="19" t="str">
        <f t="shared" si="38"/>
        <v/>
      </c>
      <c r="L287" s="19"/>
      <c r="M287" s="19"/>
      <c r="N287" s="19"/>
    </row>
    <row r="288" spans="1:14" customFormat="1">
      <c r="A288" s="20" t="str">
        <f>IF(BASE!B288=0,"",BASE!B288)</f>
        <v/>
      </c>
      <c r="B288" s="19" t="str">
        <f>IF(BASE!C288=0,"",BASE!C288)</f>
        <v/>
      </c>
      <c r="C288" s="19" t="str">
        <f>IF(BASE!D288=0,"",TRIM(BASE!D288))</f>
        <v/>
      </c>
      <c r="D288" s="21" t="str">
        <f>IFERROR(VLOOKUP(A288,AUX!A:B,2,0),"")</f>
        <v/>
      </c>
      <c r="E288" s="19" t="str">
        <f t="shared" si="34"/>
        <v/>
      </c>
      <c r="F288" s="19" t="str">
        <f t="shared" si="35"/>
        <v/>
      </c>
      <c r="G288" s="19" t="str">
        <f t="shared" si="36"/>
        <v/>
      </c>
      <c r="H288" s="19" t="str">
        <f t="shared" si="37"/>
        <v/>
      </c>
      <c r="I288" s="18" t="str">
        <f t="shared" ref="I288:I351" si="39">E288&amp;G288&amp;H288</f>
        <v/>
      </c>
      <c r="J288" s="18" t="str">
        <f t="shared" ref="J288:J351" si="40">IFERROR(LEFT(B288,FIND(" ",B288)),"")</f>
        <v/>
      </c>
      <c r="K288" s="19" t="str">
        <f t="shared" si="38"/>
        <v/>
      </c>
      <c r="L288" s="19"/>
      <c r="M288" s="19"/>
      <c r="N288" s="19"/>
    </row>
    <row r="289" spans="1:14" customFormat="1">
      <c r="A289" s="20" t="str">
        <f>IF(BASE!B289=0,"",BASE!B289)</f>
        <v/>
      </c>
      <c r="B289" s="19" t="str">
        <f>IF(BASE!C289=0,"",BASE!C289)</f>
        <v/>
      </c>
      <c r="C289" s="19" t="str">
        <f>IF(BASE!D289=0,"",TRIM(BASE!D289))</f>
        <v/>
      </c>
      <c r="D289" s="21" t="str">
        <f>IFERROR(VLOOKUP(A289,AUX!A:B,2,0),"")</f>
        <v/>
      </c>
      <c r="E289" s="19" t="str">
        <f t="shared" si="34"/>
        <v/>
      </c>
      <c r="F289" s="19" t="str">
        <f t="shared" si="35"/>
        <v/>
      </c>
      <c r="G289" s="19" t="str">
        <f t="shared" si="36"/>
        <v/>
      </c>
      <c r="H289" s="19" t="str">
        <f t="shared" si="37"/>
        <v/>
      </c>
      <c r="I289" s="18" t="str">
        <f t="shared" si="39"/>
        <v/>
      </c>
      <c r="J289" s="18" t="str">
        <f t="shared" si="40"/>
        <v/>
      </c>
      <c r="K289" s="19" t="str">
        <f t="shared" si="38"/>
        <v/>
      </c>
      <c r="L289" s="19"/>
      <c r="M289" s="19"/>
      <c r="N289" s="19"/>
    </row>
    <row r="290" spans="1:14" customFormat="1">
      <c r="A290" s="20" t="str">
        <f>IF(BASE!B290=0,"",BASE!B290)</f>
        <v/>
      </c>
      <c r="B290" s="19" t="str">
        <f>IF(BASE!C290=0,"",BASE!C290)</f>
        <v/>
      </c>
      <c r="C290" s="19" t="str">
        <f>IF(BASE!D290=0,"",TRIM(BASE!D290))</f>
        <v/>
      </c>
      <c r="D290" s="21" t="str">
        <f>IFERROR(VLOOKUP(A290,AUX!A:B,2,0),"")</f>
        <v/>
      </c>
      <c r="E290" s="19" t="str">
        <f t="shared" si="34"/>
        <v/>
      </c>
      <c r="F290" s="19" t="str">
        <f t="shared" si="35"/>
        <v/>
      </c>
      <c r="G290" s="19" t="str">
        <f t="shared" si="36"/>
        <v/>
      </c>
      <c r="H290" s="19" t="str">
        <f t="shared" si="37"/>
        <v/>
      </c>
      <c r="I290" s="18" t="str">
        <f t="shared" si="39"/>
        <v/>
      </c>
      <c r="J290" s="18" t="str">
        <f t="shared" si="40"/>
        <v/>
      </c>
      <c r="K290" s="19" t="str">
        <f t="shared" si="38"/>
        <v/>
      </c>
      <c r="L290" s="19"/>
      <c r="M290" s="19"/>
      <c r="N290" s="19"/>
    </row>
    <row r="291" spans="1:14" customFormat="1">
      <c r="A291" s="20" t="str">
        <f>IF(BASE!B291=0,"",BASE!B291)</f>
        <v/>
      </c>
      <c r="B291" s="19" t="str">
        <f>IF(BASE!C291=0,"",BASE!C291)</f>
        <v/>
      </c>
      <c r="C291" s="19" t="str">
        <f>IF(BASE!D291=0,"",TRIM(BASE!D291))</f>
        <v/>
      </c>
      <c r="D291" s="21" t="str">
        <f>IFERROR(VLOOKUP(A291,AUX!A:B,2,0),"")</f>
        <v/>
      </c>
      <c r="E291" s="19" t="str">
        <f t="shared" si="34"/>
        <v/>
      </c>
      <c r="F291" s="19" t="str">
        <f t="shared" si="35"/>
        <v/>
      </c>
      <c r="G291" s="19" t="str">
        <f t="shared" si="36"/>
        <v/>
      </c>
      <c r="H291" s="19" t="str">
        <f t="shared" si="37"/>
        <v/>
      </c>
      <c r="I291" s="18" t="str">
        <f t="shared" si="39"/>
        <v/>
      </c>
      <c r="J291" s="18" t="str">
        <f t="shared" si="40"/>
        <v/>
      </c>
      <c r="K291" s="19" t="str">
        <f t="shared" si="38"/>
        <v/>
      </c>
      <c r="L291" s="19"/>
      <c r="M291" s="19"/>
      <c r="N291" s="19"/>
    </row>
    <row r="292" spans="1:14" customFormat="1">
      <c r="A292" s="20" t="str">
        <f>IF(BASE!B292=0,"",BASE!B292)</f>
        <v/>
      </c>
      <c r="B292" s="19" t="str">
        <f>IF(BASE!C292=0,"",BASE!C292)</f>
        <v/>
      </c>
      <c r="C292" s="19" t="str">
        <f>IF(BASE!D292=0,"",TRIM(BASE!D292))</f>
        <v/>
      </c>
      <c r="D292" s="21" t="str">
        <f>IFERROR(VLOOKUP(A292,AUX!A:B,2,0),"")</f>
        <v/>
      </c>
      <c r="E292" s="19" t="str">
        <f t="shared" si="34"/>
        <v/>
      </c>
      <c r="F292" s="19" t="str">
        <f t="shared" si="35"/>
        <v/>
      </c>
      <c r="G292" s="19" t="str">
        <f t="shared" si="36"/>
        <v/>
      </c>
      <c r="H292" s="19" t="str">
        <f t="shared" si="37"/>
        <v/>
      </c>
      <c r="I292" s="18" t="str">
        <f t="shared" si="39"/>
        <v/>
      </c>
      <c r="J292" s="18" t="str">
        <f t="shared" si="40"/>
        <v/>
      </c>
      <c r="K292" s="19" t="str">
        <f t="shared" si="38"/>
        <v/>
      </c>
      <c r="L292" s="19"/>
      <c r="M292" s="19"/>
      <c r="N292" s="19"/>
    </row>
    <row r="293" spans="1:14" customFormat="1">
      <c r="A293" s="20" t="str">
        <f>IF(BASE!B293=0,"",BASE!B293)</f>
        <v/>
      </c>
      <c r="B293" s="19" t="str">
        <f>IF(BASE!C293=0,"",BASE!C293)</f>
        <v/>
      </c>
      <c r="C293" s="19" t="str">
        <f>IF(BASE!D293=0,"",TRIM(BASE!D293))</f>
        <v/>
      </c>
      <c r="D293" s="21" t="str">
        <f>IFERROR(VLOOKUP(A293,AUX!A:B,2,0),"")</f>
        <v/>
      </c>
      <c r="E293" s="19" t="str">
        <f t="shared" si="34"/>
        <v/>
      </c>
      <c r="F293" s="19" t="str">
        <f t="shared" si="35"/>
        <v/>
      </c>
      <c r="G293" s="19" t="str">
        <f t="shared" si="36"/>
        <v/>
      </c>
      <c r="H293" s="19" t="str">
        <f t="shared" si="37"/>
        <v/>
      </c>
      <c r="I293" s="18" t="str">
        <f t="shared" si="39"/>
        <v/>
      </c>
      <c r="J293" s="18" t="str">
        <f t="shared" si="40"/>
        <v/>
      </c>
      <c r="K293" s="19" t="str">
        <f t="shared" si="38"/>
        <v/>
      </c>
      <c r="L293" s="19"/>
      <c r="M293" s="19"/>
      <c r="N293" s="19"/>
    </row>
    <row r="294" spans="1:14" customFormat="1">
      <c r="A294" s="20" t="str">
        <f>IF(BASE!B294=0,"",BASE!B294)</f>
        <v/>
      </c>
      <c r="B294" s="19" t="str">
        <f>IF(BASE!C294=0,"",BASE!C294)</f>
        <v/>
      </c>
      <c r="C294" s="19" t="str">
        <f>IF(BASE!D294=0,"",TRIM(BASE!D294))</f>
        <v/>
      </c>
      <c r="D294" s="21" t="str">
        <f>IFERROR(VLOOKUP(A294,AUX!A:B,2,0),"")</f>
        <v/>
      </c>
      <c r="E294" s="19" t="str">
        <f t="shared" si="34"/>
        <v/>
      </c>
      <c r="F294" s="19" t="str">
        <f t="shared" si="35"/>
        <v/>
      </c>
      <c r="G294" s="19" t="str">
        <f t="shared" si="36"/>
        <v/>
      </c>
      <c r="H294" s="19" t="str">
        <f t="shared" si="37"/>
        <v/>
      </c>
      <c r="I294" s="18" t="str">
        <f t="shared" si="39"/>
        <v/>
      </c>
      <c r="J294" s="18" t="str">
        <f t="shared" si="40"/>
        <v/>
      </c>
      <c r="K294" s="19" t="str">
        <f t="shared" si="38"/>
        <v/>
      </c>
      <c r="L294" s="19"/>
      <c r="M294" s="19"/>
      <c r="N294" s="19"/>
    </row>
    <row r="295" spans="1:14" customFormat="1">
      <c r="A295" s="20" t="str">
        <f>IF(BASE!B295=0,"",BASE!B295)</f>
        <v/>
      </c>
      <c r="B295" s="19" t="str">
        <f>IF(BASE!C295=0,"",BASE!C295)</f>
        <v/>
      </c>
      <c r="C295" s="19" t="str">
        <f>IF(BASE!D295=0,"",TRIM(BASE!D295))</f>
        <v/>
      </c>
      <c r="D295" s="21" t="str">
        <f>IFERROR(VLOOKUP(A295,AUX!A:B,2,0),"")</f>
        <v/>
      </c>
      <c r="E295" s="19" t="str">
        <f t="shared" si="34"/>
        <v/>
      </c>
      <c r="F295" s="19" t="str">
        <f t="shared" si="35"/>
        <v/>
      </c>
      <c r="G295" s="19" t="str">
        <f t="shared" si="36"/>
        <v/>
      </c>
      <c r="H295" s="19" t="str">
        <f t="shared" si="37"/>
        <v/>
      </c>
      <c r="I295" s="18" t="str">
        <f t="shared" si="39"/>
        <v/>
      </c>
      <c r="J295" s="18" t="str">
        <f t="shared" si="40"/>
        <v/>
      </c>
      <c r="K295" s="19" t="str">
        <f t="shared" si="38"/>
        <v/>
      </c>
      <c r="L295" s="19"/>
      <c r="M295" s="19"/>
      <c r="N295" s="19"/>
    </row>
    <row r="296" spans="1:14" customFormat="1">
      <c r="A296" s="20" t="str">
        <f>IF(BASE!B296=0,"",BASE!B296)</f>
        <v/>
      </c>
      <c r="B296" s="19" t="str">
        <f>IF(BASE!C296=0,"",BASE!C296)</f>
        <v/>
      </c>
      <c r="C296" s="19" t="str">
        <f>IF(BASE!D296=0,"",TRIM(BASE!D296))</f>
        <v/>
      </c>
      <c r="D296" s="21" t="str">
        <f>IFERROR(VLOOKUP(A296,AUX!A:B,2,0),"")</f>
        <v/>
      </c>
      <c r="E296" s="19" t="str">
        <f t="shared" si="34"/>
        <v/>
      </c>
      <c r="F296" s="19" t="str">
        <f t="shared" si="35"/>
        <v/>
      </c>
      <c r="G296" s="19" t="str">
        <f t="shared" si="36"/>
        <v/>
      </c>
      <c r="H296" s="19" t="str">
        <f t="shared" si="37"/>
        <v/>
      </c>
      <c r="I296" s="18" t="str">
        <f t="shared" si="39"/>
        <v/>
      </c>
      <c r="J296" s="18" t="str">
        <f t="shared" si="40"/>
        <v/>
      </c>
      <c r="K296" s="19" t="str">
        <f t="shared" si="38"/>
        <v/>
      </c>
      <c r="L296" s="19"/>
      <c r="M296" s="19"/>
      <c r="N296" s="19"/>
    </row>
    <row r="297" spans="1:14" customFormat="1">
      <c r="A297" s="20" t="str">
        <f>IF(BASE!B297=0,"",BASE!B297)</f>
        <v/>
      </c>
      <c r="B297" s="19" t="str">
        <f>IF(BASE!C297=0,"",BASE!C297)</f>
        <v/>
      </c>
      <c r="C297" s="19" t="str">
        <f>IF(BASE!D297=0,"",TRIM(BASE!D297))</f>
        <v/>
      </c>
      <c r="D297" s="21" t="str">
        <f>IFERROR(VLOOKUP(A297,AUX!A:B,2,0),"")</f>
        <v/>
      </c>
      <c r="E297" s="19" t="str">
        <f t="shared" si="34"/>
        <v/>
      </c>
      <c r="F297" s="19" t="str">
        <f t="shared" si="35"/>
        <v/>
      </c>
      <c r="G297" s="19" t="str">
        <f t="shared" si="36"/>
        <v/>
      </c>
      <c r="H297" s="19" t="str">
        <f t="shared" si="37"/>
        <v/>
      </c>
      <c r="I297" s="18" t="str">
        <f t="shared" si="39"/>
        <v/>
      </c>
      <c r="J297" s="18" t="str">
        <f t="shared" si="40"/>
        <v/>
      </c>
      <c r="K297" s="19" t="str">
        <f t="shared" si="38"/>
        <v/>
      </c>
      <c r="L297" s="19"/>
      <c r="M297" s="19"/>
      <c r="N297" s="19"/>
    </row>
    <row r="298" spans="1:14" customFormat="1">
      <c r="A298" s="20" t="str">
        <f>IF(BASE!B298=0,"",BASE!B298)</f>
        <v/>
      </c>
      <c r="B298" s="19" t="str">
        <f>IF(BASE!C298=0,"",BASE!C298)</f>
        <v/>
      </c>
      <c r="C298" s="19" t="str">
        <f>IF(BASE!D298=0,"",TRIM(BASE!D298))</f>
        <v/>
      </c>
      <c r="D298" s="21" t="str">
        <f>IFERROR(VLOOKUP(A298,AUX!A:B,2,0),"")</f>
        <v/>
      </c>
      <c r="E298" s="19" t="str">
        <f t="shared" si="34"/>
        <v/>
      </c>
      <c r="F298" s="19" t="str">
        <f t="shared" si="35"/>
        <v/>
      </c>
      <c r="G298" s="19" t="str">
        <f t="shared" si="36"/>
        <v/>
      </c>
      <c r="H298" s="19" t="str">
        <f t="shared" si="37"/>
        <v/>
      </c>
      <c r="I298" s="18" t="str">
        <f t="shared" si="39"/>
        <v/>
      </c>
      <c r="J298" s="18" t="str">
        <f t="shared" si="40"/>
        <v/>
      </c>
      <c r="K298" s="19" t="str">
        <f t="shared" si="38"/>
        <v/>
      </c>
      <c r="L298" s="19"/>
      <c r="M298" s="19"/>
      <c r="N298" s="19"/>
    </row>
    <row r="299" spans="1:14" customFormat="1">
      <c r="A299" s="20" t="str">
        <f>IF(BASE!B299=0,"",BASE!B299)</f>
        <v/>
      </c>
      <c r="B299" s="19" t="str">
        <f>IF(BASE!C299=0,"",BASE!C299)</f>
        <v/>
      </c>
      <c r="C299" s="19" t="str">
        <f>IF(BASE!D299=0,"",TRIM(BASE!D299))</f>
        <v/>
      </c>
      <c r="D299" s="21" t="str">
        <f>IFERROR(VLOOKUP(A299,AUX!A:B,2,0),"")</f>
        <v/>
      </c>
      <c r="E299" s="19" t="str">
        <f t="shared" si="34"/>
        <v/>
      </c>
      <c r="F299" s="19" t="str">
        <f t="shared" si="35"/>
        <v/>
      </c>
      <c r="G299" s="19" t="str">
        <f t="shared" si="36"/>
        <v/>
      </c>
      <c r="H299" s="19" t="str">
        <f t="shared" si="37"/>
        <v/>
      </c>
      <c r="I299" s="18" t="str">
        <f t="shared" si="39"/>
        <v/>
      </c>
      <c r="J299" s="18" t="str">
        <f t="shared" si="40"/>
        <v/>
      </c>
      <c r="K299" s="19" t="str">
        <f t="shared" si="38"/>
        <v/>
      </c>
      <c r="L299" s="19"/>
      <c r="M299" s="19"/>
      <c r="N299" s="19"/>
    </row>
    <row r="300" spans="1:14" customFormat="1">
      <c r="A300" s="20" t="str">
        <f>IF(BASE!B300=0,"",BASE!B300)</f>
        <v/>
      </c>
      <c r="B300" s="19" t="str">
        <f>IF(BASE!C300=0,"",BASE!C300)</f>
        <v/>
      </c>
      <c r="C300" s="19" t="str">
        <f>IF(BASE!D300=0,"",TRIM(BASE!D300))</f>
        <v/>
      </c>
      <c r="D300" s="21" t="str">
        <f>IFERROR(VLOOKUP(A300,AUX!A:B,2,0),"")</f>
        <v/>
      </c>
      <c r="E300" s="19" t="str">
        <f t="shared" si="34"/>
        <v/>
      </c>
      <c r="F300" s="19" t="str">
        <f t="shared" si="35"/>
        <v/>
      </c>
      <c r="G300" s="19" t="str">
        <f t="shared" si="36"/>
        <v/>
      </c>
      <c r="H300" s="19" t="str">
        <f t="shared" si="37"/>
        <v/>
      </c>
      <c r="I300" s="18" t="str">
        <f t="shared" si="39"/>
        <v/>
      </c>
      <c r="J300" s="18" t="str">
        <f t="shared" si="40"/>
        <v/>
      </c>
      <c r="K300" s="19" t="str">
        <f t="shared" si="38"/>
        <v/>
      </c>
      <c r="L300" s="19"/>
      <c r="M300" s="19"/>
      <c r="N300" s="19"/>
    </row>
    <row r="301" spans="1:14" customFormat="1">
      <c r="A301" s="20" t="str">
        <f>IF(BASE!B301=0,"",BASE!B301)</f>
        <v/>
      </c>
      <c r="B301" s="19" t="str">
        <f>IF(BASE!C301=0,"",BASE!C301)</f>
        <v/>
      </c>
      <c r="C301" s="19" t="str">
        <f>IF(BASE!D301=0,"",TRIM(BASE!D301))</f>
        <v/>
      </c>
      <c r="D301" s="21" t="str">
        <f>IFERROR(VLOOKUP(A301,AUX!A:B,2,0),"")</f>
        <v/>
      </c>
      <c r="E301" s="19" t="str">
        <f t="shared" si="34"/>
        <v/>
      </c>
      <c r="F301" s="19" t="str">
        <f t="shared" si="35"/>
        <v/>
      </c>
      <c r="G301" s="19" t="str">
        <f t="shared" si="36"/>
        <v/>
      </c>
      <c r="H301" s="19" t="str">
        <f t="shared" si="37"/>
        <v/>
      </c>
      <c r="I301" s="18" t="str">
        <f t="shared" si="39"/>
        <v/>
      </c>
      <c r="J301" s="18" t="str">
        <f t="shared" si="40"/>
        <v/>
      </c>
      <c r="K301" s="19" t="str">
        <f t="shared" si="38"/>
        <v/>
      </c>
      <c r="L301" s="19"/>
      <c r="M301" s="19"/>
      <c r="N301" s="19"/>
    </row>
    <row r="302" spans="1:14" customFormat="1">
      <c r="A302" s="20" t="str">
        <f>IF(BASE!B302=0,"",BASE!B302)</f>
        <v/>
      </c>
      <c r="B302" s="19" t="str">
        <f>IF(BASE!C302=0,"",BASE!C302)</f>
        <v/>
      </c>
      <c r="C302" s="19" t="str">
        <f>IF(BASE!D302=0,"",TRIM(BASE!D302))</f>
        <v/>
      </c>
      <c r="D302" s="21" t="str">
        <f>IFERROR(VLOOKUP(A302,AUX!A:B,2,0),"")</f>
        <v/>
      </c>
      <c r="E302" s="19" t="str">
        <f t="shared" si="34"/>
        <v/>
      </c>
      <c r="F302" s="19" t="str">
        <f t="shared" si="35"/>
        <v/>
      </c>
      <c r="G302" s="19" t="str">
        <f t="shared" si="36"/>
        <v/>
      </c>
      <c r="H302" s="19" t="str">
        <f t="shared" si="37"/>
        <v/>
      </c>
      <c r="I302" s="18" t="str">
        <f t="shared" si="39"/>
        <v/>
      </c>
      <c r="J302" s="18" t="str">
        <f t="shared" si="40"/>
        <v/>
      </c>
      <c r="K302" s="19" t="str">
        <f t="shared" si="38"/>
        <v/>
      </c>
      <c r="L302" s="19"/>
      <c r="M302" s="19"/>
      <c r="N302" s="19"/>
    </row>
    <row r="303" spans="1:14" customFormat="1">
      <c r="A303" s="20" t="str">
        <f>IF(BASE!B303=0,"",BASE!B303)</f>
        <v/>
      </c>
      <c r="B303" s="19" t="str">
        <f>IF(BASE!C303=0,"",BASE!C303)</f>
        <v/>
      </c>
      <c r="C303" s="19" t="str">
        <f>IF(BASE!D303=0,"",TRIM(BASE!D303))</f>
        <v/>
      </c>
      <c r="D303" s="21" t="str">
        <f>IFERROR(VLOOKUP(A303,AUX!A:B,2,0),"")</f>
        <v/>
      </c>
      <c r="E303" s="19" t="str">
        <f t="shared" si="34"/>
        <v/>
      </c>
      <c r="F303" s="19" t="str">
        <f t="shared" si="35"/>
        <v/>
      </c>
      <c r="G303" s="19" t="str">
        <f t="shared" si="36"/>
        <v/>
      </c>
      <c r="H303" s="19" t="str">
        <f t="shared" si="37"/>
        <v/>
      </c>
      <c r="I303" s="18" t="str">
        <f t="shared" si="39"/>
        <v/>
      </c>
      <c r="J303" s="18" t="str">
        <f t="shared" si="40"/>
        <v/>
      </c>
      <c r="K303" s="19" t="str">
        <f t="shared" si="38"/>
        <v/>
      </c>
      <c r="L303" s="19"/>
      <c r="M303" s="19"/>
      <c r="N303" s="19"/>
    </row>
    <row r="304" spans="1:14" customFormat="1">
      <c r="A304" s="20" t="str">
        <f>IF(BASE!B304=0,"",BASE!B304)</f>
        <v/>
      </c>
      <c r="B304" s="19" t="str">
        <f>IF(BASE!C304=0,"",BASE!C304)</f>
        <v/>
      </c>
      <c r="C304" s="19" t="str">
        <f>IF(BASE!D304=0,"",TRIM(BASE!D304))</f>
        <v/>
      </c>
      <c r="D304" s="21" t="str">
        <f>IFERROR(VLOOKUP(A304,AUX!A:B,2,0),"")</f>
        <v/>
      </c>
      <c r="E304" s="19" t="str">
        <f t="shared" si="34"/>
        <v/>
      </c>
      <c r="F304" s="19" t="str">
        <f t="shared" si="35"/>
        <v/>
      </c>
      <c r="G304" s="19" t="str">
        <f t="shared" si="36"/>
        <v/>
      </c>
      <c r="H304" s="19" t="str">
        <f t="shared" si="37"/>
        <v/>
      </c>
      <c r="I304" s="18" t="str">
        <f t="shared" si="39"/>
        <v/>
      </c>
      <c r="J304" s="18" t="str">
        <f t="shared" si="40"/>
        <v/>
      </c>
      <c r="K304" s="19" t="str">
        <f t="shared" si="38"/>
        <v/>
      </c>
      <c r="L304" s="19"/>
      <c r="M304" s="19"/>
      <c r="N304" s="19"/>
    </row>
    <row r="305" spans="1:14" customFormat="1">
      <c r="A305" s="20" t="str">
        <f>IF(BASE!B305=0,"",BASE!B305)</f>
        <v/>
      </c>
      <c r="B305" s="19" t="str">
        <f>IF(BASE!C305=0,"",BASE!C305)</f>
        <v/>
      </c>
      <c r="C305" s="19" t="str">
        <f>IF(BASE!D305=0,"",TRIM(BASE!D305))</f>
        <v/>
      </c>
      <c r="D305" s="21" t="str">
        <f>IFERROR(VLOOKUP(A305,AUX!A:B,2,0),"")</f>
        <v/>
      </c>
      <c r="E305" s="19" t="str">
        <f t="shared" si="34"/>
        <v/>
      </c>
      <c r="F305" s="19" t="str">
        <f t="shared" si="35"/>
        <v/>
      </c>
      <c r="G305" s="19" t="str">
        <f t="shared" si="36"/>
        <v/>
      </c>
      <c r="H305" s="19" t="str">
        <f t="shared" si="37"/>
        <v/>
      </c>
      <c r="I305" s="18" t="str">
        <f t="shared" si="39"/>
        <v/>
      </c>
      <c r="J305" s="18" t="str">
        <f t="shared" si="40"/>
        <v/>
      </c>
      <c r="K305" s="19" t="str">
        <f t="shared" si="38"/>
        <v/>
      </c>
      <c r="L305" s="19"/>
      <c r="M305" s="19"/>
      <c r="N305" s="19"/>
    </row>
    <row r="306" spans="1:14" customFormat="1">
      <c r="A306" s="20" t="str">
        <f>IF(BASE!B306=0,"",BASE!B306)</f>
        <v/>
      </c>
      <c r="B306" s="19" t="str">
        <f>IF(BASE!C306=0,"",BASE!C306)</f>
        <v/>
      </c>
      <c r="C306" s="19" t="str">
        <f>IF(BASE!D306=0,"",TRIM(BASE!D306))</f>
        <v/>
      </c>
      <c r="D306" s="21" t="str">
        <f>IFERROR(VLOOKUP(A306,AUX!A:B,2,0),"")</f>
        <v/>
      </c>
      <c r="E306" s="19" t="str">
        <f t="shared" si="34"/>
        <v/>
      </c>
      <c r="F306" s="19" t="str">
        <f t="shared" si="35"/>
        <v/>
      </c>
      <c r="G306" s="19" t="str">
        <f t="shared" si="36"/>
        <v/>
      </c>
      <c r="H306" s="19" t="str">
        <f t="shared" si="37"/>
        <v/>
      </c>
      <c r="I306" s="18" t="str">
        <f t="shared" si="39"/>
        <v/>
      </c>
      <c r="J306" s="18" t="str">
        <f t="shared" si="40"/>
        <v/>
      </c>
      <c r="K306" s="19" t="str">
        <f t="shared" si="38"/>
        <v/>
      </c>
      <c r="L306" s="19"/>
      <c r="M306" s="19"/>
      <c r="N306" s="19"/>
    </row>
    <row r="307" spans="1:14" customFormat="1">
      <c r="A307" s="20" t="str">
        <f>IF(BASE!B307=0,"",BASE!B307)</f>
        <v/>
      </c>
      <c r="B307" s="19" t="str">
        <f>IF(BASE!C307=0,"",BASE!C307)</f>
        <v/>
      </c>
      <c r="C307" s="19" t="str">
        <f>IF(BASE!D307=0,"",TRIM(BASE!D307))</f>
        <v/>
      </c>
      <c r="D307" s="21" t="str">
        <f>IFERROR(VLOOKUP(A307,AUX!A:B,2,0),"")</f>
        <v/>
      </c>
      <c r="E307" s="19" t="str">
        <f t="shared" si="34"/>
        <v/>
      </c>
      <c r="F307" s="19" t="str">
        <f t="shared" si="35"/>
        <v/>
      </c>
      <c r="G307" s="19" t="str">
        <f t="shared" si="36"/>
        <v/>
      </c>
      <c r="H307" s="19" t="str">
        <f t="shared" si="37"/>
        <v/>
      </c>
      <c r="I307" s="18" t="str">
        <f t="shared" si="39"/>
        <v/>
      </c>
      <c r="J307" s="18" t="str">
        <f t="shared" si="40"/>
        <v/>
      </c>
      <c r="K307" s="19" t="str">
        <f t="shared" si="38"/>
        <v/>
      </c>
      <c r="L307" s="19"/>
      <c r="M307" s="19"/>
      <c r="N307" s="19"/>
    </row>
    <row r="308" spans="1:14" customFormat="1">
      <c r="A308" s="20" t="str">
        <f>IF(BASE!B308=0,"",BASE!B308)</f>
        <v/>
      </c>
      <c r="B308" s="19" t="str">
        <f>IF(BASE!C308=0,"",BASE!C308)</f>
        <v/>
      </c>
      <c r="C308" s="19" t="str">
        <f>IF(BASE!D308=0,"",TRIM(BASE!D308))</f>
        <v/>
      </c>
      <c r="D308" s="21" t="str">
        <f>IFERROR(VLOOKUP(A308,AUX!A:B,2,0),"")</f>
        <v/>
      </c>
      <c r="E308" s="19" t="str">
        <f t="shared" si="34"/>
        <v/>
      </c>
      <c r="F308" s="19" t="str">
        <f t="shared" si="35"/>
        <v/>
      </c>
      <c r="G308" s="19" t="str">
        <f t="shared" si="36"/>
        <v/>
      </c>
      <c r="H308" s="19" t="str">
        <f t="shared" si="37"/>
        <v/>
      </c>
      <c r="I308" s="18" t="str">
        <f t="shared" si="39"/>
        <v/>
      </c>
      <c r="J308" s="18" t="str">
        <f t="shared" si="40"/>
        <v/>
      </c>
      <c r="K308" s="19" t="str">
        <f t="shared" si="38"/>
        <v/>
      </c>
      <c r="L308" s="19"/>
      <c r="M308" s="19"/>
      <c r="N308" s="19"/>
    </row>
    <row r="309" spans="1:14" customFormat="1">
      <c r="A309" s="20" t="str">
        <f>IF(BASE!B309=0,"",BASE!B309)</f>
        <v/>
      </c>
      <c r="B309" s="19" t="str">
        <f>IF(BASE!C309=0,"",BASE!C309)</f>
        <v/>
      </c>
      <c r="C309" s="19" t="str">
        <f>IF(BASE!D309=0,"",TRIM(BASE!D309))</f>
        <v/>
      </c>
      <c r="D309" s="21" t="str">
        <f>IFERROR(VLOOKUP(A309,AUX!A:B,2,0),"")</f>
        <v/>
      </c>
      <c r="E309" s="19" t="str">
        <f t="shared" si="34"/>
        <v/>
      </c>
      <c r="F309" s="19" t="str">
        <f t="shared" si="35"/>
        <v/>
      </c>
      <c r="G309" s="19" t="str">
        <f t="shared" si="36"/>
        <v/>
      </c>
      <c r="H309" s="19" t="str">
        <f t="shared" si="37"/>
        <v/>
      </c>
      <c r="I309" s="18" t="str">
        <f t="shared" si="39"/>
        <v/>
      </c>
      <c r="J309" s="18" t="str">
        <f t="shared" si="40"/>
        <v/>
      </c>
      <c r="K309" s="19" t="str">
        <f t="shared" si="38"/>
        <v/>
      </c>
      <c r="L309" s="19"/>
      <c r="M309" s="19"/>
      <c r="N309" s="19"/>
    </row>
    <row r="310" spans="1:14" customFormat="1">
      <c r="A310" s="20" t="str">
        <f>IF(BASE!B310=0,"",BASE!B310)</f>
        <v/>
      </c>
      <c r="B310" s="19" t="str">
        <f>IF(BASE!C310=0,"",BASE!C310)</f>
        <v/>
      </c>
      <c r="C310" s="19" t="str">
        <f>IF(BASE!D310=0,"",TRIM(BASE!D310))</f>
        <v/>
      </c>
      <c r="D310" s="21" t="str">
        <f>IFERROR(VLOOKUP(A310,AUX!A:B,2,0),"")</f>
        <v/>
      </c>
      <c r="E310" s="19" t="str">
        <f t="shared" si="34"/>
        <v/>
      </c>
      <c r="F310" s="19" t="str">
        <f t="shared" si="35"/>
        <v/>
      </c>
      <c r="G310" s="19" t="str">
        <f t="shared" si="36"/>
        <v/>
      </c>
      <c r="H310" s="19" t="str">
        <f t="shared" si="37"/>
        <v/>
      </c>
      <c r="I310" s="18" t="str">
        <f t="shared" si="39"/>
        <v/>
      </c>
      <c r="J310" s="18" t="str">
        <f t="shared" si="40"/>
        <v/>
      </c>
      <c r="K310" s="19" t="str">
        <f t="shared" si="38"/>
        <v/>
      </c>
      <c r="L310" s="19"/>
      <c r="M310" s="19"/>
      <c r="N310" s="19"/>
    </row>
    <row r="311" spans="1:14" customFormat="1">
      <c r="A311" s="20" t="str">
        <f>IF(BASE!B311=0,"",BASE!B311)</f>
        <v/>
      </c>
      <c r="B311" s="19" t="str">
        <f>IF(BASE!C311=0,"",BASE!C311)</f>
        <v/>
      </c>
      <c r="C311" s="19" t="str">
        <f>IF(BASE!D311=0,"",TRIM(BASE!D311))</f>
        <v/>
      </c>
      <c r="D311" s="21" t="str">
        <f>IFERROR(VLOOKUP(A311,AUX!A:B,2,0),"")</f>
        <v/>
      </c>
      <c r="E311" s="19" t="str">
        <f t="shared" si="34"/>
        <v/>
      </c>
      <c r="F311" s="19" t="str">
        <f t="shared" si="35"/>
        <v/>
      </c>
      <c r="G311" s="19" t="str">
        <f t="shared" si="36"/>
        <v/>
      </c>
      <c r="H311" s="19" t="str">
        <f t="shared" si="37"/>
        <v/>
      </c>
      <c r="I311" s="18" t="str">
        <f t="shared" si="39"/>
        <v/>
      </c>
      <c r="J311" s="18" t="str">
        <f t="shared" si="40"/>
        <v/>
      </c>
      <c r="K311" s="19" t="str">
        <f t="shared" si="38"/>
        <v/>
      </c>
      <c r="L311" s="19"/>
      <c r="M311" s="19"/>
      <c r="N311" s="19"/>
    </row>
    <row r="312" spans="1:14" customFormat="1">
      <c r="A312" s="20" t="str">
        <f>IF(BASE!B312=0,"",BASE!B312)</f>
        <v/>
      </c>
      <c r="B312" s="19" t="str">
        <f>IF(BASE!C312=0,"",BASE!C312)</f>
        <v/>
      </c>
      <c r="C312" s="19" t="str">
        <f>IF(BASE!D312=0,"",TRIM(BASE!D312))</f>
        <v/>
      </c>
      <c r="D312" s="21" t="str">
        <f>IFERROR(VLOOKUP(A312,AUX!A:B,2,0),"")</f>
        <v/>
      </c>
      <c r="E312" s="19" t="str">
        <f t="shared" si="34"/>
        <v/>
      </c>
      <c r="F312" s="19" t="str">
        <f t="shared" si="35"/>
        <v/>
      </c>
      <c r="G312" s="19" t="str">
        <f t="shared" si="36"/>
        <v/>
      </c>
      <c r="H312" s="19" t="str">
        <f t="shared" si="37"/>
        <v/>
      </c>
      <c r="I312" s="18" t="str">
        <f t="shared" si="39"/>
        <v/>
      </c>
      <c r="J312" s="18" t="str">
        <f t="shared" si="40"/>
        <v/>
      </c>
      <c r="K312" s="19" t="str">
        <f t="shared" si="38"/>
        <v/>
      </c>
      <c r="L312" s="19"/>
      <c r="M312" s="19"/>
      <c r="N312" s="19"/>
    </row>
    <row r="313" spans="1:14" customFormat="1">
      <c r="A313" s="20" t="str">
        <f>IF(BASE!B313=0,"",BASE!B313)</f>
        <v/>
      </c>
      <c r="B313" s="19" t="str">
        <f>IF(BASE!C313=0,"",BASE!C313)</f>
        <v/>
      </c>
      <c r="C313" s="19" t="str">
        <f>IF(BASE!D313=0,"",TRIM(BASE!D313))</f>
        <v/>
      </c>
      <c r="D313" s="21" t="str">
        <f>IFERROR(VLOOKUP(A313,AUX!A:B,2,0),"")</f>
        <v/>
      </c>
      <c r="E313" s="19" t="str">
        <f t="shared" si="34"/>
        <v/>
      </c>
      <c r="F313" s="19" t="str">
        <f t="shared" si="35"/>
        <v/>
      </c>
      <c r="G313" s="19" t="str">
        <f t="shared" si="36"/>
        <v/>
      </c>
      <c r="H313" s="19" t="str">
        <f t="shared" si="37"/>
        <v/>
      </c>
      <c r="I313" s="18" t="str">
        <f t="shared" si="39"/>
        <v/>
      </c>
      <c r="J313" s="18" t="str">
        <f t="shared" si="40"/>
        <v/>
      </c>
      <c r="K313" s="19" t="str">
        <f t="shared" si="38"/>
        <v/>
      </c>
      <c r="L313" s="19"/>
      <c r="M313" s="19"/>
      <c r="N313" s="19"/>
    </row>
    <row r="314" spans="1:14" customFormat="1">
      <c r="A314" s="20" t="str">
        <f>IF(BASE!B314=0,"",BASE!B314)</f>
        <v/>
      </c>
      <c r="B314" s="19" t="str">
        <f>IF(BASE!C314=0,"",BASE!C314)</f>
        <v/>
      </c>
      <c r="C314" s="19" t="str">
        <f>IF(BASE!D314=0,"",TRIM(BASE!D314))</f>
        <v/>
      </c>
      <c r="D314" s="21" t="str">
        <f>IFERROR(VLOOKUP(A314,AUX!A:B,2,0),"")</f>
        <v/>
      </c>
      <c r="E314" s="19" t="str">
        <f t="shared" si="34"/>
        <v/>
      </c>
      <c r="F314" s="19" t="str">
        <f t="shared" si="35"/>
        <v/>
      </c>
      <c r="G314" s="19" t="str">
        <f t="shared" si="36"/>
        <v/>
      </c>
      <c r="H314" s="19" t="str">
        <f t="shared" si="37"/>
        <v/>
      </c>
      <c r="I314" s="18" t="str">
        <f t="shared" si="39"/>
        <v/>
      </c>
      <c r="J314" s="18" t="str">
        <f t="shared" si="40"/>
        <v/>
      </c>
      <c r="K314" s="19" t="str">
        <f t="shared" si="38"/>
        <v/>
      </c>
      <c r="L314" s="19"/>
      <c r="M314" s="19"/>
      <c r="N314" s="19"/>
    </row>
    <row r="315" spans="1:14" customFormat="1">
      <c r="A315" s="20" t="str">
        <f>IF(BASE!B315=0,"",BASE!B315)</f>
        <v/>
      </c>
      <c r="B315" s="19" t="str">
        <f>IF(BASE!C315=0,"",BASE!C315)</f>
        <v/>
      </c>
      <c r="C315" s="19" t="str">
        <f>IF(BASE!D315=0,"",TRIM(BASE!D315))</f>
        <v/>
      </c>
      <c r="D315" s="21" t="str">
        <f>IFERROR(VLOOKUP(A315,AUX!A:B,2,0),"")</f>
        <v/>
      </c>
      <c r="E315" s="19" t="str">
        <f t="shared" si="34"/>
        <v/>
      </c>
      <c r="F315" s="19" t="str">
        <f t="shared" si="35"/>
        <v/>
      </c>
      <c r="G315" s="19" t="str">
        <f t="shared" si="36"/>
        <v/>
      </c>
      <c r="H315" s="19" t="str">
        <f t="shared" si="37"/>
        <v/>
      </c>
      <c r="I315" s="18" t="str">
        <f t="shared" si="39"/>
        <v/>
      </c>
      <c r="J315" s="18" t="str">
        <f t="shared" si="40"/>
        <v/>
      </c>
      <c r="K315" s="19" t="str">
        <f t="shared" si="38"/>
        <v/>
      </c>
      <c r="L315" s="19"/>
      <c r="M315" s="19"/>
      <c r="N315" s="19"/>
    </row>
    <row r="316" spans="1:14" customFormat="1">
      <c r="A316" s="20" t="str">
        <f>IF(BASE!B316=0,"",BASE!B316)</f>
        <v/>
      </c>
      <c r="B316" s="19" t="str">
        <f>IF(BASE!C316=0,"",BASE!C316)</f>
        <v/>
      </c>
      <c r="C316" s="19" t="str">
        <f>IF(BASE!D316=0,"",TRIM(BASE!D316))</f>
        <v/>
      </c>
      <c r="D316" s="21" t="str">
        <f>IFERROR(VLOOKUP(A316,AUX!A:B,2,0),"")</f>
        <v/>
      </c>
      <c r="E316" s="19" t="str">
        <f t="shared" si="34"/>
        <v/>
      </c>
      <c r="F316" s="19" t="str">
        <f t="shared" si="35"/>
        <v/>
      </c>
      <c r="G316" s="19" t="str">
        <f t="shared" si="36"/>
        <v/>
      </c>
      <c r="H316" s="19" t="str">
        <f t="shared" si="37"/>
        <v/>
      </c>
      <c r="I316" s="18" t="str">
        <f t="shared" si="39"/>
        <v/>
      </c>
      <c r="J316" s="18" t="str">
        <f t="shared" si="40"/>
        <v/>
      </c>
      <c r="K316" s="19" t="str">
        <f t="shared" si="38"/>
        <v/>
      </c>
      <c r="L316" s="19"/>
      <c r="M316" s="19"/>
      <c r="N316" s="19"/>
    </row>
    <row r="317" spans="1:14" customFormat="1">
      <c r="A317" s="20" t="str">
        <f>IF(BASE!B317=0,"",BASE!B317)</f>
        <v/>
      </c>
      <c r="B317" s="19" t="str">
        <f>IF(BASE!C317=0,"",BASE!C317)</f>
        <v/>
      </c>
      <c r="C317" s="19" t="str">
        <f>IF(BASE!D317=0,"",TRIM(BASE!D317))</f>
        <v/>
      </c>
      <c r="D317" s="21" t="str">
        <f>IFERROR(VLOOKUP(A317,AUX!A:B,2,0),"")</f>
        <v/>
      </c>
      <c r="E317" s="19" t="str">
        <f t="shared" si="34"/>
        <v/>
      </c>
      <c r="F317" s="19" t="str">
        <f t="shared" si="35"/>
        <v/>
      </c>
      <c r="G317" s="19" t="str">
        <f t="shared" si="36"/>
        <v/>
      </c>
      <c r="H317" s="19" t="str">
        <f t="shared" si="37"/>
        <v/>
      </c>
      <c r="I317" s="18" t="str">
        <f t="shared" si="39"/>
        <v/>
      </c>
      <c r="J317" s="18" t="str">
        <f t="shared" si="40"/>
        <v/>
      </c>
      <c r="K317" s="19" t="str">
        <f t="shared" si="38"/>
        <v/>
      </c>
      <c r="L317" s="19"/>
      <c r="M317" s="19"/>
      <c r="N317" s="19"/>
    </row>
    <row r="318" spans="1:14" customFormat="1">
      <c r="A318" s="20" t="str">
        <f>IF(BASE!B318=0,"",BASE!B318)</f>
        <v/>
      </c>
      <c r="B318" s="19" t="str">
        <f>IF(BASE!C318=0,"",BASE!C318)</f>
        <v/>
      </c>
      <c r="C318" s="19" t="str">
        <f>IF(BASE!D318=0,"",TRIM(BASE!D318))</f>
        <v/>
      </c>
      <c r="D318" s="21" t="str">
        <f>IFERROR(VLOOKUP(A318,AUX!A:B,2,0),"")</f>
        <v/>
      </c>
      <c r="E318" s="19" t="str">
        <f t="shared" si="34"/>
        <v/>
      </c>
      <c r="F318" s="19" t="str">
        <f t="shared" si="35"/>
        <v/>
      </c>
      <c r="G318" s="19" t="str">
        <f t="shared" si="36"/>
        <v/>
      </c>
      <c r="H318" s="19" t="str">
        <f t="shared" si="37"/>
        <v/>
      </c>
      <c r="I318" s="18" t="str">
        <f t="shared" si="39"/>
        <v/>
      </c>
      <c r="J318" s="18" t="str">
        <f t="shared" si="40"/>
        <v/>
      </c>
      <c r="K318" s="19" t="str">
        <f t="shared" si="38"/>
        <v/>
      </c>
      <c r="L318" s="19"/>
      <c r="M318" s="19"/>
      <c r="N318" s="19"/>
    </row>
    <row r="319" spans="1:14" customFormat="1">
      <c r="A319" s="20" t="str">
        <f>IF(BASE!B319=0,"",BASE!B319)</f>
        <v/>
      </c>
      <c r="B319" s="19" t="str">
        <f>IF(BASE!C319=0,"",BASE!C319)</f>
        <v/>
      </c>
      <c r="C319" s="19" t="str">
        <f>IF(BASE!D319=0,"",TRIM(BASE!D319))</f>
        <v/>
      </c>
      <c r="D319" s="21" t="str">
        <f>IFERROR(VLOOKUP(A319,AUX!A:B,2,0),"")</f>
        <v/>
      </c>
      <c r="E319" s="19" t="str">
        <f t="shared" si="34"/>
        <v/>
      </c>
      <c r="F319" s="19" t="str">
        <f t="shared" si="35"/>
        <v/>
      </c>
      <c r="G319" s="19" t="str">
        <f t="shared" si="36"/>
        <v/>
      </c>
      <c r="H319" s="19" t="str">
        <f t="shared" si="37"/>
        <v/>
      </c>
      <c r="I319" s="18" t="str">
        <f t="shared" si="39"/>
        <v/>
      </c>
      <c r="J319" s="18" t="str">
        <f t="shared" si="40"/>
        <v/>
      </c>
      <c r="K319" s="19" t="str">
        <f t="shared" si="38"/>
        <v/>
      </c>
      <c r="L319" s="19"/>
      <c r="M319" s="19"/>
      <c r="N319" s="19"/>
    </row>
    <row r="320" spans="1:14" customFormat="1">
      <c r="A320" s="20" t="str">
        <f>IF(BASE!B320=0,"",BASE!B320)</f>
        <v/>
      </c>
      <c r="B320" s="19" t="str">
        <f>IF(BASE!C320=0,"",BASE!C320)</f>
        <v/>
      </c>
      <c r="C320" s="19" t="str">
        <f>IF(BASE!D320=0,"",TRIM(BASE!D320))</f>
        <v/>
      </c>
      <c r="D320" s="21" t="str">
        <f>IFERROR(VLOOKUP(A320,AUX!A:B,2,0),"")</f>
        <v/>
      </c>
      <c r="E320" s="19" t="str">
        <f t="shared" si="34"/>
        <v/>
      </c>
      <c r="F320" s="19" t="str">
        <f t="shared" si="35"/>
        <v/>
      </c>
      <c r="G320" s="19" t="str">
        <f t="shared" si="36"/>
        <v/>
      </c>
      <c r="H320" s="19" t="str">
        <f t="shared" si="37"/>
        <v/>
      </c>
      <c r="I320" s="18" t="str">
        <f t="shared" si="39"/>
        <v/>
      </c>
      <c r="J320" s="18" t="str">
        <f t="shared" si="40"/>
        <v/>
      </c>
      <c r="K320" s="19" t="str">
        <f t="shared" si="38"/>
        <v/>
      </c>
      <c r="L320" s="19"/>
      <c r="M320" s="19"/>
      <c r="N320" s="19"/>
    </row>
    <row r="321" spans="1:14" customFormat="1">
      <c r="A321" s="20" t="str">
        <f>IF(BASE!B321=0,"",BASE!B321)</f>
        <v/>
      </c>
      <c r="B321" s="19" t="str">
        <f>IF(BASE!C321=0,"",BASE!C321)</f>
        <v/>
      </c>
      <c r="C321" s="19" t="str">
        <f>IF(BASE!D321=0,"",TRIM(BASE!D321))</f>
        <v/>
      </c>
      <c r="D321" s="21" t="str">
        <f>IFERROR(VLOOKUP(A321,AUX!A:B,2,0),"")</f>
        <v/>
      </c>
      <c r="E321" s="19" t="str">
        <f t="shared" si="34"/>
        <v/>
      </c>
      <c r="F321" s="19" t="str">
        <f t="shared" si="35"/>
        <v/>
      </c>
      <c r="G321" s="19" t="str">
        <f t="shared" si="36"/>
        <v/>
      </c>
      <c r="H321" s="19" t="str">
        <f t="shared" si="37"/>
        <v/>
      </c>
      <c r="I321" s="18" t="str">
        <f t="shared" si="39"/>
        <v/>
      </c>
      <c r="J321" s="18" t="str">
        <f t="shared" si="40"/>
        <v/>
      </c>
      <c r="K321" s="19" t="str">
        <f t="shared" si="38"/>
        <v/>
      </c>
      <c r="L321" s="19"/>
      <c r="M321" s="19"/>
      <c r="N321" s="19"/>
    </row>
    <row r="322" spans="1:14" customFormat="1">
      <c r="A322" s="20" t="str">
        <f>IF(BASE!B322=0,"",BASE!B322)</f>
        <v/>
      </c>
      <c r="B322" s="19" t="str">
        <f>IF(BASE!C322=0,"",BASE!C322)</f>
        <v/>
      </c>
      <c r="C322" s="19" t="str">
        <f>IF(BASE!D322=0,"",TRIM(BASE!D322))</f>
        <v/>
      </c>
      <c r="D322" s="21" t="str">
        <f>IFERROR(VLOOKUP(A322,AUX!A:B,2,0),"")</f>
        <v/>
      </c>
      <c r="E322" s="19" t="str">
        <f t="shared" si="34"/>
        <v/>
      </c>
      <c r="F322" s="19" t="str">
        <f t="shared" si="35"/>
        <v/>
      </c>
      <c r="G322" s="19" t="str">
        <f t="shared" si="36"/>
        <v/>
      </c>
      <c r="H322" s="19" t="str">
        <f t="shared" si="37"/>
        <v/>
      </c>
      <c r="I322" s="18" t="str">
        <f t="shared" si="39"/>
        <v/>
      </c>
      <c r="J322" s="18" t="str">
        <f t="shared" si="40"/>
        <v/>
      </c>
      <c r="K322" s="19" t="str">
        <f t="shared" si="38"/>
        <v/>
      </c>
      <c r="L322" s="19"/>
      <c r="M322" s="19"/>
      <c r="N322" s="19"/>
    </row>
    <row r="323" spans="1:14" customFormat="1">
      <c r="A323" s="20" t="str">
        <f>IF(BASE!B323=0,"",BASE!B323)</f>
        <v/>
      </c>
      <c r="B323" s="19" t="str">
        <f>IF(BASE!C323=0,"",BASE!C323)</f>
        <v/>
      </c>
      <c r="C323" s="19" t="str">
        <f>IF(BASE!D323=0,"",TRIM(BASE!D323))</f>
        <v/>
      </c>
      <c r="D323" s="21" t="str">
        <f>IFERROR(VLOOKUP(A323,AUX!A:B,2,0),"")</f>
        <v/>
      </c>
      <c r="E323" s="19" t="str">
        <f t="shared" ref="E323:E386" si="41">RIGHT(LEFT(TRIM(C323),3),2)</f>
        <v/>
      </c>
      <c r="F323" s="19" t="str">
        <f t="shared" ref="F323:F386" si="42">TRIM(RIGHT(TRIM(C323),11))</f>
        <v/>
      </c>
      <c r="G323" s="19" t="str">
        <f t="shared" ref="G323:G386" si="43">TRIM(LEFT(F323,5))</f>
        <v/>
      </c>
      <c r="H323" s="19" t="str">
        <f t="shared" ref="H323:H386" si="44">RIGHT(TRIM(F323),5)</f>
        <v/>
      </c>
      <c r="I323" s="18" t="str">
        <f t="shared" si="39"/>
        <v/>
      </c>
      <c r="J323" s="18" t="str">
        <f t="shared" si="40"/>
        <v/>
      </c>
      <c r="K323" s="19" t="str">
        <f t="shared" ref="K323:K386" si="45">IF(A323="","","Prezado (a), "&amp;J323&amp;"
Devido a um imprevisto no voo do médico, o horário do seu procedimento precisou ser alterado para "&amp;TEXT(D323,"HH:MM")&amp;".
Pedimos, por gentileza, que chegue com 15 minutos de antecedência.
Pedimos desculpas pelo transtorno, agradecemos a compreensão e permanecemos à disposição para qualquer dúvida.
Atenciosamente,
Centro de Oftalmologia Brasil")</f>
        <v/>
      </c>
      <c r="L323" s="19"/>
      <c r="M323" s="19"/>
      <c r="N323" s="19"/>
    </row>
    <row r="324" spans="1:14" customFormat="1">
      <c r="A324" s="20" t="str">
        <f>IF(BASE!B324=0,"",BASE!B324)</f>
        <v/>
      </c>
      <c r="B324" s="19" t="str">
        <f>IF(BASE!C324=0,"",BASE!C324)</f>
        <v/>
      </c>
      <c r="C324" s="19" t="str">
        <f>IF(BASE!D324=0,"",TRIM(BASE!D324))</f>
        <v/>
      </c>
      <c r="D324" s="21" t="str">
        <f>IFERROR(VLOOKUP(A324,AUX!A:B,2,0),"")</f>
        <v/>
      </c>
      <c r="E324" s="19" t="str">
        <f t="shared" si="41"/>
        <v/>
      </c>
      <c r="F324" s="19" t="str">
        <f t="shared" si="42"/>
        <v/>
      </c>
      <c r="G324" s="19" t="str">
        <f t="shared" si="43"/>
        <v/>
      </c>
      <c r="H324" s="19" t="str">
        <f t="shared" si="44"/>
        <v/>
      </c>
      <c r="I324" s="18" t="str">
        <f t="shared" si="39"/>
        <v/>
      </c>
      <c r="J324" s="18" t="str">
        <f t="shared" si="40"/>
        <v/>
      </c>
      <c r="K324" s="19" t="str">
        <f t="shared" si="45"/>
        <v/>
      </c>
      <c r="L324" s="19"/>
      <c r="M324" s="19"/>
      <c r="N324" s="19"/>
    </row>
    <row r="325" spans="1:14" customFormat="1">
      <c r="A325" s="20" t="str">
        <f>IF(BASE!B325=0,"",BASE!B325)</f>
        <v/>
      </c>
      <c r="B325" s="19" t="str">
        <f>IF(BASE!C325=0,"",BASE!C325)</f>
        <v/>
      </c>
      <c r="C325" s="19" t="str">
        <f>IF(BASE!D325=0,"",TRIM(BASE!D325))</f>
        <v/>
      </c>
      <c r="D325" s="21" t="str">
        <f>IFERROR(VLOOKUP(A325,AUX!A:B,2,0),"")</f>
        <v/>
      </c>
      <c r="E325" s="19" t="str">
        <f t="shared" si="41"/>
        <v/>
      </c>
      <c r="F325" s="19" t="str">
        <f t="shared" si="42"/>
        <v/>
      </c>
      <c r="G325" s="19" t="str">
        <f t="shared" si="43"/>
        <v/>
      </c>
      <c r="H325" s="19" t="str">
        <f t="shared" si="44"/>
        <v/>
      </c>
      <c r="I325" s="18" t="str">
        <f t="shared" si="39"/>
        <v/>
      </c>
      <c r="J325" s="18" t="str">
        <f t="shared" si="40"/>
        <v/>
      </c>
      <c r="K325" s="19" t="str">
        <f t="shared" si="45"/>
        <v/>
      </c>
      <c r="L325" s="19"/>
      <c r="M325" s="19"/>
      <c r="N325" s="19"/>
    </row>
    <row r="326" spans="1:14" customFormat="1">
      <c r="A326" s="20" t="str">
        <f>IF(BASE!B326=0,"",BASE!B326)</f>
        <v/>
      </c>
      <c r="B326" s="19" t="str">
        <f>IF(BASE!C326=0,"",BASE!C326)</f>
        <v/>
      </c>
      <c r="C326" s="19" t="str">
        <f>IF(BASE!D326=0,"",TRIM(BASE!D326))</f>
        <v/>
      </c>
      <c r="D326" s="21" t="str">
        <f>IFERROR(VLOOKUP(A326,AUX!A:B,2,0),"")</f>
        <v/>
      </c>
      <c r="E326" s="19" t="str">
        <f t="shared" si="41"/>
        <v/>
      </c>
      <c r="F326" s="19" t="str">
        <f t="shared" si="42"/>
        <v/>
      </c>
      <c r="G326" s="19" t="str">
        <f t="shared" si="43"/>
        <v/>
      </c>
      <c r="H326" s="19" t="str">
        <f t="shared" si="44"/>
        <v/>
      </c>
      <c r="I326" s="18" t="str">
        <f t="shared" si="39"/>
        <v/>
      </c>
      <c r="J326" s="18" t="str">
        <f t="shared" si="40"/>
        <v/>
      </c>
      <c r="K326" s="19" t="str">
        <f t="shared" si="45"/>
        <v/>
      </c>
      <c r="L326" s="19"/>
      <c r="M326" s="19"/>
      <c r="N326" s="19"/>
    </row>
    <row r="327" spans="1:14" customFormat="1">
      <c r="A327" s="20" t="str">
        <f>IF(BASE!B327=0,"",BASE!B327)</f>
        <v/>
      </c>
      <c r="B327" s="19" t="str">
        <f>IF(BASE!C327=0,"",BASE!C327)</f>
        <v/>
      </c>
      <c r="C327" s="19" t="str">
        <f>IF(BASE!D327=0,"",TRIM(BASE!D327))</f>
        <v/>
      </c>
      <c r="D327" s="21" t="str">
        <f>IFERROR(VLOOKUP(A327,AUX!A:B,2,0),"")</f>
        <v/>
      </c>
      <c r="E327" s="19" t="str">
        <f t="shared" si="41"/>
        <v/>
      </c>
      <c r="F327" s="19" t="str">
        <f t="shared" si="42"/>
        <v/>
      </c>
      <c r="G327" s="19" t="str">
        <f t="shared" si="43"/>
        <v/>
      </c>
      <c r="H327" s="19" t="str">
        <f t="shared" si="44"/>
        <v/>
      </c>
      <c r="I327" s="18" t="str">
        <f t="shared" si="39"/>
        <v/>
      </c>
      <c r="J327" s="18" t="str">
        <f t="shared" si="40"/>
        <v/>
      </c>
      <c r="K327" s="19" t="str">
        <f t="shared" si="45"/>
        <v/>
      </c>
      <c r="L327" s="19"/>
      <c r="M327" s="19"/>
      <c r="N327" s="19"/>
    </row>
    <row r="328" spans="1:14" customFormat="1">
      <c r="A328" s="20" t="str">
        <f>IF(BASE!B328=0,"",BASE!B328)</f>
        <v/>
      </c>
      <c r="B328" s="19" t="str">
        <f>IF(BASE!C328=0,"",BASE!C328)</f>
        <v/>
      </c>
      <c r="C328" s="19" t="str">
        <f>IF(BASE!D328=0,"",TRIM(BASE!D328))</f>
        <v/>
      </c>
      <c r="D328" s="21" t="str">
        <f>IFERROR(VLOOKUP(A328,AUX!A:B,2,0),"")</f>
        <v/>
      </c>
      <c r="E328" s="19" t="str">
        <f t="shared" si="41"/>
        <v/>
      </c>
      <c r="F328" s="19" t="str">
        <f t="shared" si="42"/>
        <v/>
      </c>
      <c r="G328" s="19" t="str">
        <f t="shared" si="43"/>
        <v/>
      </c>
      <c r="H328" s="19" t="str">
        <f t="shared" si="44"/>
        <v/>
      </c>
      <c r="I328" s="18" t="str">
        <f t="shared" si="39"/>
        <v/>
      </c>
      <c r="J328" s="18" t="str">
        <f t="shared" si="40"/>
        <v/>
      </c>
      <c r="K328" s="19" t="str">
        <f t="shared" si="45"/>
        <v/>
      </c>
      <c r="L328" s="19"/>
      <c r="M328" s="19"/>
      <c r="N328" s="19"/>
    </row>
    <row r="329" spans="1:14" customFormat="1">
      <c r="A329" s="20" t="str">
        <f>IF(BASE!B329=0,"",BASE!B329)</f>
        <v/>
      </c>
      <c r="B329" s="19" t="str">
        <f>IF(BASE!C329=0,"",BASE!C329)</f>
        <v/>
      </c>
      <c r="C329" s="19" t="str">
        <f>IF(BASE!D329=0,"",TRIM(BASE!D329))</f>
        <v/>
      </c>
      <c r="D329" s="21" t="str">
        <f>IFERROR(VLOOKUP(A329,AUX!A:B,2,0),"")</f>
        <v/>
      </c>
      <c r="E329" s="19" t="str">
        <f t="shared" si="41"/>
        <v/>
      </c>
      <c r="F329" s="19" t="str">
        <f t="shared" si="42"/>
        <v/>
      </c>
      <c r="G329" s="19" t="str">
        <f t="shared" si="43"/>
        <v/>
      </c>
      <c r="H329" s="19" t="str">
        <f t="shared" si="44"/>
        <v/>
      </c>
      <c r="I329" s="18" t="str">
        <f t="shared" si="39"/>
        <v/>
      </c>
      <c r="J329" s="18" t="str">
        <f t="shared" si="40"/>
        <v/>
      </c>
      <c r="K329" s="19" t="str">
        <f t="shared" si="45"/>
        <v/>
      </c>
      <c r="L329" s="19"/>
      <c r="M329" s="19"/>
      <c r="N329" s="19"/>
    </row>
    <row r="330" spans="1:14" customFormat="1">
      <c r="A330" s="20" t="str">
        <f>IF(BASE!B330=0,"",BASE!B330)</f>
        <v/>
      </c>
      <c r="B330" s="19" t="str">
        <f>IF(BASE!C330=0,"",BASE!C330)</f>
        <v/>
      </c>
      <c r="C330" s="19" t="str">
        <f>IF(BASE!D330=0,"",TRIM(BASE!D330))</f>
        <v/>
      </c>
      <c r="D330" s="21" t="str">
        <f>IFERROR(VLOOKUP(A330,AUX!A:B,2,0),"")</f>
        <v/>
      </c>
      <c r="E330" s="19" t="str">
        <f t="shared" si="41"/>
        <v/>
      </c>
      <c r="F330" s="19" t="str">
        <f t="shared" si="42"/>
        <v/>
      </c>
      <c r="G330" s="19" t="str">
        <f t="shared" si="43"/>
        <v/>
      </c>
      <c r="H330" s="19" t="str">
        <f t="shared" si="44"/>
        <v/>
      </c>
      <c r="I330" s="18" t="str">
        <f t="shared" si="39"/>
        <v/>
      </c>
      <c r="J330" s="18" t="str">
        <f t="shared" si="40"/>
        <v/>
      </c>
      <c r="K330" s="19" t="str">
        <f t="shared" si="45"/>
        <v/>
      </c>
      <c r="L330" s="19"/>
      <c r="M330" s="19"/>
      <c r="N330" s="19"/>
    </row>
    <row r="331" spans="1:14" customFormat="1">
      <c r="A331" s="20" t="str">
        <f>IF(BASE!B331=0,"",BASE!B331)</f>
        <v/>
      </c>
      <c r="B331" s="19" t="str">
        <f>IF(BASE!C331=0,"",BASE!C331)</f>
        <v/>
      </c>
      <c r="C331" s="19" t="str">
        <f>IF(BASE!D331=0,"",TRIM(BASE!D331))</f>
        <v/>
      </c>
      <c r="D331" s="21" t="str">
        <f>IFERROR(VLOOKUP(A331,AUX!A:B,2,0),"")</f>
        <v/>
      </c>
      <c r="E331" s="19" t="str">
        <f t="shared" si="41"/>
        <v/>
      </c>
      <c r="F331" s="19" t="str">
        <f t="shared" si="42"/>
        <v/>
      </c>
      <c r="G331" s="19" t="str">
        <f t="shared" si="43"/>
        <v/>
      </c>
      <c r="H331" s="19" t="str">
        <f t="shared" si="44"/>
        <v/>
      </c>
      <c r="I331" s="18" t="str">
        <f t="shared" si="39"/>
        <v/>
      </c>
      <c r="J331" s="18" t="str">
        <f t="shared" si="40"/>
        <v/>
      </c>
      <c r="K331" s="19" t="str">
        <f t="shared" si="45"/>
        <v/>
      </c>
      <c r="L331" s="19"/>
      <c r="M331" s="19"/>
      <c r="N331" s="19"/>
    </row>
    <row r="332" spans="1:14" customFormat="1">
      <c r="A332" s="20" t="str">
        <f>IF(BASE!B332=0,"",BASE!B332)</f>
        <v/>
      </c>
      <c r="B332" s="19" t="str">
        <f>IF(BASE!C332=0,"",BASE!C332)</f>
        <v/>
      </c>
      <c r="C332" s="19" t="str">
        <f>IF(BASE!D332=0,"",TRIM(BASE!D332))</f>
        <v/>
      </c>
      <c r="D332" s="21" t="str">
        <f>IFERROR(VLOOKUP(A332,AUX!A:B,2,0),"")</f>
        <v/>
      </c>
      <c r="E332" s="19" t="str">
        <f t="shared" si="41"/>
        <v/>
      </c>
      <c r="F332" s="19" t="str">
        <f t="shared" si="42"/>
        <v/>
      </c>
      <c r="G332" s="19" t="str">
        <f t="shared" si="43"/>
        <v/>
      </c>
      <c r="H332" s="19" t="str">
        <f t="shared" si="44"/>
        <v/>
      </c>
      <c r="I332" s="18" t="str">
        <f t="shared" si="39"/>
        <v/>
      </c>
      <c r="J332" s="18" t="str">
        <f t="shared" si="40"/>
        <v/>
      </c>
      <c r="K332" s="19" t="str">
        <f t="shared" si="45"/>
        <v/>
      </c>
      <c r="L332" s="19"/>
      <c r="M332" s="19"/>
      <c r="N332" s="19"/>
    </row>
    <row r="333" spans="1:14" customFormat="1">
      <c r="A333" s="20" t="str">
        <f>IF(BASE!B333=0,"",BASE!B333)</f>
        <v/>
      </c>
      <c r="B333" s="19" t="str">
        <f>IF(BASE!C333=0,"",BASE!C333)</f>
        <v/>
      </c>
      <c r="C333" s="19" t="str">
        <f>IF(BASE!D333=0,"",TRIM(BASE!D333))</f>
        <v/>
      </c>
      <c r="D333" s="21" t="str">
        <f>IFERROR(VLOOKUP(A333,AUX!A:B,2,0),"")</f>
        <v/>
      </c>
      <c r="E333" s="19" t="str">
        <f t="shared" si="41"/>
        <v/>
      </c>
      <c r="F333" s="19" t="str">
        <f t="shared" si="42"/>
        <v/>
      </c>
      <c r="G333" s="19" t="str">
        <f t="shared" si="43"/>
        <v/>
      </c>
      <c r="H333" s="19" t="str">
        <f t="shared" si="44"/>
        <v/>
      </c>
      <c r="I333" s="18" t="str">
        <f t="shared" si="39"/>
        <v/>
      </c>
      <c r="J333" s="18" t="str">
        <f t="shared" si="40"/>
        <v/>
      </c>
      <c r="K333" s="19" t="str">
        <f t="shared" si="45"/>
        <v/>
      </c>
      <c r="L333" s="19"/>
      <c r="M333" s="19"/>
      <c r="N333" s="19"/>
    </row>
    <row r="334" spans="1:14" customFormat="1">
      <c r="A334" s="20" t="str">
        <f>IF(BASE!B334=0,"",BASE!B334)</f>
        <v/>
      </c>
      <c r="B334" s="19" t="str">
        <f>IF(BASE!C334=0,"",BASE!C334)</f>
        <v/>
      </c>
      <c r="C334" s="19" t="str">
        <f>IF(BASE!D334=0,"",TRIM(BASE!D334))</f>
        <v/>
      </c>
      <c r="D334" s="21" t="str">
        <f>IFERROR(VLOOKUP(A334,AUX!A:B,2,0),"")</f>
        <v/>
      </c>
      <c r="E334" s="19" t="str">
        <f t="shared" si="41"/>
        <v/>
      </c>
      <c r="F334" s="19" t="str">
        <f t="shared" si="42"/>
        <v/>
      </c>
      <c r="G334" s="19" t="str">
        <f t="shared" si="43"/>
        <v/>
      </c>
      <c r="H334" s="19" t="str">
        <f t="shared" si="44"/>
        <v/>
      </c>
      <c r="I334" s="18" t="str">
        <f t="shared" si="39"/>
        <v/>
      </c>
      <c r="J334" s="18" t="str">
        <f t="shared" si="40"/>
        <v/>
      </c>
      <c r="K334" s="19" t="str">
        <f t="shared" si="45"/>
        <v/>
      </c>
      <c r="L334" s="19"/>
      <c r="M334" s="19"/>
      <c r="N334" s="19"/>
    </row>
    <row r="335" spans="1:14" customFormat="1">
      <c r="A335" s="20" t="str">
        <f>IF(BASE!B335=0,"",BASE!B335)</f>
        <v/>
      </c>
      <c r="B335" s="19" t="str">
        <f>IF(BASE!C335=0,"",BASE!C335)</f>
        <v/>
      </c>
      <c r="C335" s="19" t="str">
        <f>IF(BASE!D335=0,"",TRIM(BASE!D335))</f>
        <v/>
      </c>
      <c r="D335" s="21" t="str">
        <f>IFERROR(VLOOKUP(A335,AUX!A:B,2,0),"")</f>
        <v/>
      </c>
      <c r="E335" s="19" t="str">
        <f t="shared" si="41"/>
        <v/>
      </c>
      <c r="F335" s="19" t="str">
        <f t="shared" si="42"/>
        <v/>
      </c>
      <c r="G335" s="19" t="str">
        <f t="shared" si="43"/>
        <v/>
      </c>
      <c r="H335" s="19" t="str">
        <f t="shared" si="44"/>
        <v/>
      </c>
      <c r="I335" s="18" t="str">
        <f t="shared" si="39"/>
        <v/>
      </c>
      <c r="J335" s="18" t="str">
        <f t="shared" si="40"/>
        <v/>
      </c>
      <c r="K335" s="19" t="str">
        <f t="shared" si="45"/>
        <v/>
      </c>
      <c r="L335" s="19"/>
      <c r="M335" s="19"/>
      <c r="N335" s="19"/>
    </row>
    <row r="336" spans="1:14" customFormat="1">
      <c r="A336" s="20" t="str">
        <f>IF(BASE!B336=0,"",BASE!B336)</f>
        <v/>
      </c>
      <c r="B336" s="19" t="str">
        <f>IF(BASE!C336=0,"",BASE!C336)</f>
        <v/>
      </c>
      <c r="C336" s="19" t="str">
        <f>IF(BASE!D336=0,"",TRIM(BASE!D336))</f>
        <v/>
      </c>
      <c r="D336" s="21" t="str">
        <f>IFERROR(VLOOKUP(A336,AUX!A:B,2,0),"")</f>
        <v/>
      </c>
      <c r="E336" s="19" t="str">
        <f t="shared" si="41"/>
        <v/>
      </c>
      <c r="F336" s="19" t="str">
        <f t="shared" si="42"/>
        <v/>
      </c>
      <c r="G336" s="19" t="str">
        <f t="shared" si="43"/>
        <v/>
      </c>
      <c r="H336" s="19" t="str">
        <f t="shared" si="44"/>
        <v/>
      </c>
      <c r="I336" s="18" t="str">
        <f t="shared" si="39"/>
        <v/>
      </c>
      <c r="J336" s="18" t="str">
        <f t="shared" si="40"/>
        <v/>
      </c>
      <c r="K336" s="19" t="str">
        <f t="shared" si="45"/>
        <v/>
      </c>
      <c r="L336" s="19"/>
      <c r="M336" s="19"/>
      <c r="N336" s="19"/>
    </row>
    <row r="337" spans="1:14" customFormat="1">
      <c r="A337" s="20" t="str">
        <f>IF(BASE!B337=0,"",BASE!B337)</f>
        <v/>
      </c>
      <c r="B337" s="19" t="str">
        <f>IF(BASE!C337=0,"",BASE!C337)</f>
        <v/>
      </c>
      <c r="C337" s="19" t="str">
        <f>IF(BASE!D337=0,"",TRIM(BASE!D337))</f>
        <v/>
      </c>
      <c r="D337" s="21" t="str">
        <f>IFERROR(VLOOKUP(A337,AUX!A:B,2,0),"")</f>
        <v/>
      </c>
      <c r="E337" s="19" t="str">
        <f t="shared" si="41"/>
        <v/>
      </c>
      <c r="F337" s="19" t="str">
        <f t="shared" si="42"/>
        <v/>
      </c>
      <c r="G337" s="19" t="str">
        <f t="shared" si="43"/>
        <v/>
      </c>
      <c r="H337" s="19" t="str">
        <f t="shared" si="44"/>
        <v/>
      </c>
      <c r="I337" s="18" t="str">
        <f t="shared" si="39"/>
        <v/>
      </c>
      <c r="J337" s="18" t="str">
        <f t="shared" si="40"/>
        <v/>
      </c>
      <c r="K337" s="19" t="str">
        <f t="shared" si="45"/>
        <v/>
      </c>
      <c r="L337" s="19"/>
      <c r="M337" s="19"/>
      <c r="N337" s="19"/>
    </row>
    <row r="338" spans="1:14" customFormat="1">
      <c r="A338" s="20" t="str">
        <f>IF(BASE!B338=0,"",BASE!B338)</f>
        <v/>
      </c>
      <c r="B338" s="19" t="str">
        <f>IF(BASE!C338=0,"",BASE!C338)</f>
        <v/>
      </c>
      <c r="C338" s="19" t="str">
        <f>IF(BASE!D338=0,"",TRIM(BASE!D338))</f>
        <v/>
      </c>
      <c r="D338" s="21" t="str">
        <f>IFERROR(VLOOKUP(A338,AUX!A:B,2,0),"")</f>
        <v/>
      </c>
      <c r="E338" s="19" t="str">
        <f t="shared" si="41"/>
        <v/>
      </c>
      <c r="F338" s="19" t="str">
        <f t="shared" si="42"/>
        <v/>
      </c>
      <c r="G338" s="19" t="str">
        <f t="shared" si="43"/>
        <v/>
      </c>
      <c r="H338" s="19" t="str">
        <f t="shared" si="44"/>
        <v/>
      </c>
      <c r="I338" s="18" t="str">
        <f t="shared" si="39"/>
        <v/>
      </c>
      <c r="J338" s="18" t="str">
        <f t="shared" si="40"/>
        <v/>
      </c>
      <c r="K338" s="19" t="str">
        <f t="shared" si="45"/>
        <v/>
      </c>
      <c r="L338" s="19"/>
      <c r="M338" s="19"/>
      <c r="N338" s="19"/>
    </row>
    <row r="339" spans="1:14" customFormat="1">
      <c r="A339" s="20" t="str">
        <f>IF(BASE!B339=0,"",BASE!B339)</f>
        <v/>
      </c>
      <c r="B339" s="19" t="str">
        <f>IF(BASE!C339=0,"",BASE!C339)</f>
        <v/>
      </c>
      <c r="C339" s="19" t="str">
        <f>IF(BASE!D339=0,"",TRIM(BASE!D339))</f>
        <v/>
      </c>
      <c r="D339" s="21" t="str">
        <f>IFERROR(VLOOKUP(A339,AUX!A:B,2,0),"")</f>
        <v/>
      </c>
      <c r="E339" s="19" t="str">
        <f t="shared" si="41"/>
        <v/>
      </c>
      <c r="F339" s="19" t="str">
        <f t="shared" si="42"/>
        <v/>
      </c>
      <c r="G339" s="19" t="str">
        <f t="shared" si="43"/>
        <v/>
      </c>
      <c r="H339" s="19" t="str">
        <f t="shared" si="44"/>
        <v/>
      </c>
      <c r="I339" s="18" t="str">
        <f t="shared" si="39"/>
        <v/>
      </c>
      <c r="J339" s="18" t="str">
        <f t="shared" si="40"/>
        <v/>
      </c>
      <c r="K339" s="19" t="str">
        <f t="shared" si="45"/>
        <v/>
      </c>
      <c r="L339" s="19"/>
      <c r="M339" s="19"/>
      <c r="N339" s="19"/>
    </row>
    <row r="340" spans="1:14" customFormat="1">
      <c r="A340" s="20" t="str">
        <f>IF(BASE!B340=0,"",BASE!B340)</f>
        <v/>
      </c>
      <c r="B340" s="19" t="str">
        <f>IF(BASE!C340=0,"",BASE!C340)</f>
        <v/>
      </c>
      <c r="C340" s="19" t="str">
        <f>IF(BASE!D340=0,"",TRIM(BASE!D340))</f>
        <v/>
      </c>
      <c r="D340" s="21" t="str">
        <f>IFERROR(VLOOKUP(A340,AUX!A:B,2,0),"")</f>
        <v/>
      </c>
      <c r="E340" s="19" t="str">
        <f t="shared" si="41"/>
        <v/>
      </c>
      <c r="F340" s="19" t="str">
        <f t="shared" si="42"/>
        <v/>
      </c>
      <c r="G340" s="19" t="str">
        <f t="shared" si="43"/>
        <v/>
      </c>
      <c r="H340" s="19" t="str">
        <f t="shared" si="44"/>
        <v/>
      </c>
      <c r="I340" s="18" t="str">
        <f t="shared" si="39"/>
        <v/>
      </c>
      <c r="J340" s="18" t="str">
        <f t="shared" si="40"/>
        <v/>
      </c>
      <c r="K340" s="19" t="str">
        <f t="shared" si="45"/>
        <v/>
      </c>
      <c r="L340" s="19"/>
      <c r="M340" s="19"/>
      <c r="N340" s="19"/>
    </row>
    <row r="341" spans="1:14" customFormat="1">
      <c r="A341" s="20" t="str">
        <f>IF(BASE!B341=0,"",BASE!B341)</f>
        <v/>
      </c>
      <c r="B341" s="19" t="str">
        <f>IF(BASE!C341=0,"",BASE!C341)</f>
        <v/>
      </c>
      <c r="C341" s="19" t="str">
        <f>IF(BASE!D341=0,"",TRIM(BASE!D341))</f>
        <v/>
      </c>
      <c r="D341" s="21" t="str">
        <f>IFERROR(VLOOKUP(A341,AUX!A:B,2,0),"")</f>
        <v/>
      </c>
      <c r="E341" s="19" t="str">
        <f t="shared" si="41"/>
        <v/>
      </c>
      <c r="F341" s="19" t="str">
        <f t="shared" si="42"/>
        <v/>
      </c>
      <c r="G341" s="19" t="str">
        <f t="shared" si="43"/>
        <v/>
      </c>
      <c r="H341" s="19" t="str">
        <f t="shared" si="44"/>
        <v/>
      </c>
      <c r="I341" s="18" t="str">
        <f t="shared" si="39"/>
        <v/>
      </c>
      <c r="J341" s="18" t="str">
        <f t="shared" si="40"/>
        <v/>
      </c>
      <c r="K341" s="19" t="str">
        <f t="shared" si="45"/>
        <v/>
      </c>
      <c r="L341" s="19"/>
      <c r="M341" s="19"/>
      <c r="N341" s="19"/>
    </row>
    <row r="342" spans="1:14" customFormat="1">
      <c r="A342" s="20" t="str">
        <f>IF(BASE!B342=0,"",BASE!B342)</f>
        <v/>
      </c>
      <c r="B342" s="19" t="str">
        <f>IF(BASE!C342=0,"",BASE!C342)</f>
        <v/>
      </c>
      <c r="C342" s="19" t="str">
        <f>IF(BASE!D342=0,"",TRIM(BASE!D342))</f>
        <v/>
      </c>
      <c r="D342" s="21" t="str">
        <f>IFERROR(VLOOKUP(A342,AUX!A:B,2,0),"")</f>
        <v/>
      </c>
      <c r="E342" s="19" t="str">
        <f t="shared" si="41"/>
        <v/>
      </c>
      <c r="F342" s="19" t="str">
        <f t="shared" si="42"/>
        <v/>
      </c>
      <c r="G342" s="19" t="str">
        <f t="shared" si="43"/>
        <v/>
      </c>
      <c r="H342" s="19" t="str">
        <f t="shared" si="44"/>
        <v/>
      </c>
      <c r="I342" s="18" t="str">
        <f t="shared" si="39"/>
        <v/>
      </c>
      <c r="J342" s="18" t="str">
        <f t="shared" si="40"/>
        <v/>
      </c>
      <c r="K342" s="19" t="str">
        <f t="shared" si="45"/>
        <v/>
      </c>
      <c r="L342" s="19"/>
      <c r="M342" s="19"/>
      <c r="N342" s="19"/>
    </row>
    <row r="343" spans="1:14" customFormat="1">
      <c r="A343" s="20" t="str">
        <f>IF(BASE!B343=0,"",BASE!B343)</f>
        <v/>
      </c>
      <c r="B343" s="19" t="str">
        <f>IF(BASE!C343=0,"",BASE!C343)</f>
        <v/>
      </c>
      <c r="C343" s="19" t="str">
        <f>IF(BASE!D343=0,"",TRIM(BASE!D343))</f>
        <v/>
      </c>
      <c r="D343" s="21" t="str">
        <f>IFERROR(VLOOKUP(A343,AUX!A:B,2,0),"")</f>
        <v/>
      </c>
      <c r="E343" s="19" t="str">
        <f t="shared" si="41"/>
        <v/>
      </c>
      <c r="F343" s="19" t="str">
        <f t="shared" si="42"/>
        <v/>
      </c>
      <c r="G343" s="19" t="str">
        <f t="shared" si="43"/>
        <v/>
      </c>
      <c r="H343" s="19" t="str">
        <f t="shared" si="44"/>
        <v/>
      </c>
      <c r="I343" s="18" t="str">
        <f t="shared" si="39"/>
        <v/>
      </c>
      <c r="J343" s="18" t="str">
        <f t="shared" si="40"/>
        <v/>
      </c>
      <c r="K343" s="19" t="str">
        <f t="shared" si="45"/>
        <v/>
      </c>
      <c r="L343" s="19"/>
      <c r="M343" s="19"/>
      <c r="N343" s="19"/>
    </row>
    <row r="344" spans="1:14" customFormat="1">
      <c r="A344" s="20" t="str">
        <f>IF(BASE!B344=0,"",BASE!B344)</f>
        <v/>
      </c>
      <c r="B344" s="19" t="str">
        <f>IF(BASE!C344=0,"",BASE!C344)</f>
        <v/>
      </c>
      <c r="C344" s="19" t="str">
        <f>IF(BASE!D344=0,"",TRIM(BASE!D344))</f>
        <v/>
      </c>
      <c r="D344" s="21" t="str">
        <f>IFERROR(VLOOKUP(A344,AUX!A:B,2,0),"")</f>
        <v/>
      </c>
      <c r="E344" s="19" t="str">
        <f t="shared" si="41"/>
        <v/>
      </c>
      <c r="F344" s="19" t="str">
        <f t="shared" si="42"/>
        <v/>
      </c>
      <c r="G344" s="19" t="str">
        <f t="shared" si="43"/>
        <v/>
      </c>
      <c r="H344" s="19" t="str">
        <f t="shared" si="44"/>
        <v/>
      </c>
      <c r="I344" s="18" t="str">
        <f t="shared" si="39"/>
        <v/>
      </c>
      <c r="J344" s="18" t="str">
        <f t="shared" si="40"/>
        <v/>
      </c>
      <c r="K344" s="19" t="str">
        <f t="shared" si="45"/>
        <v/>
      </c>
      <c r="L344" s="19"/>
      <c r="M344" s="19"/>
      <c r="N344" s="19"/>
    </row>
    <row r="345" spans="1:14" customFormat="1">
      <c r="A345" s="20" t="str">
        <f>IF(BASE!B345=0,"",BASE!B345)</f>
        <v/>
      </c>
      <c r="B345" s="19" t="str">
        <f>IF(BASE!C345=0,"",BASE!C345)</f>
        <v/>
      </c>
      <c r="C345" s="19" t="str">
        <f>IF(BASE!D345=0,"",TRIM(BASE!D345))</f>
        <v/>
      </c>
      <c r="D345" s="21" t="str">
        <f>IFERROR(VLOOKUP(A345,AUX!A:B,2,0),"")</f>
        <v/>
      </c>
      <c r="E345" s="19" t="str">
        <f t="shared" si="41"/>
        <v/>
      </c>
      <c r="F345" s="19" t="str">
        <f t="shared" si="42"/>
        <v/>
      </c>
      <c r="G345" s="19" t="str">
        <f t="shared" si="43"/>
        <v/>
      </c>
      <c r="H345" s="19" t="str">
        <f t="shared" si="44"/>
        <v/>
      </c>
      <c r="I345" s="18" t="str">
        <f t="shared" si="39"/>
        <v/>
      </c>
      <c r="J345" s="18" t="str">
        <f t="shared" si="40"/>
        <v/>
      </c>
      <c r="K345" s="19" t="str">
        <f t="shared" si="45"/>
        <v/>
      </c>
      <c r="L345" s="19"/>
      <c r="M345" s="19"/>
      <c r="N345" s="19"/>
    </row>
    <row r="346" spans="1:14" customFormat="1">
      <c r="A346" s="20" t="str">
        <f>IF(BASE!B346=0,"",BASE!B346)</f>
        <v/>
      </c>
      <c r="B346" s="19" t="str">
        <f>IF(BASE!C346=0,"",BASE!C346)</f>
        <v/>
      </c>
      <c r="C346" s="19" t="str">
        <f>IF(BASE!D346=0,"",TRIM(BASE!D346))</f>
        <v/>
      </c>
      <c r="D346" s="21" t="str">
        <f>IFERROR(VLOOKUP(A346,AUX!A:B,2,0),"")</f>
        <v/>
      </c>
      <c r="E346" s="19" t="str">
        <f t="shared" si="41"/>
        <v/>
      </c>
      <c r="F346" s="19" t="str">
        <f t="shared" si="42"/>
        <v/>
      </c>
      <c r="G346" s="19" t="str">
        <f t="shared" si="43"/>
        <v/>
      </c>
      <c r="H346" s="19" t="str">
        <f t="shared" si="44"/>
        <v/>
      </c>
      <c r="I346" s="18" t="str">
        <f t="shared" si="39"/>
        <v/>
      </c>
      <c r="J346" s="18" t="str">
        <f t="shared" si="40"/>
        <v/>
      </c>
      <c r="K346" s="19" t="str">
        <f t="shared" si="45"/>
        <v/>
      </c>
      <c r="L346" s="19"/>
      <c r="M346" s="19"/>
      <c r="N346" s="19"/>
    </row>
    <row r="347" spans="1:14" customFormat="1">
      <c r="A347" s="20" t="str">
        <f>IF(BASE!B347=0,"",BASE!B347)</f>
        <v/>
      </c>
      <c r="B347" s="19" t="str">
        <f>IF(BASE!C347=0,"",BASE!C347)</f>
        <v/>
      </c>
      <c r="C347" s="19" t="str">
        <f>IF(BASE!D347=0,"",TRIM(BASE!D347))</f>
        <v/>
      </c>
      <c r="D347" s="21" t="str">
        <f>IFERROR(VLOOKUP(A347,AUX!A:B,2,0),"")</f>
        <v/>
      </c>
      <c r="E347" s="19" t="str">
        <f t="shared" si="41"/>
        <v/>
      </c>
      <c r="F347" s="19" t="str">
        <f t="shared" si="42"/>
        <v/>
      </c>
      <c r="G347" s="19" t="str">
        <f t="shared" si="43"/>
        <v/>
      </c>
      <c r="H347" s="19" t="str">
        <f t="shared" si="44"/>
        <v/>
      </c>
      <c r="I347" s="18" t="str">
        <f t="shared" si="39"/>
        <v/>
      </c>
      <c r="J347" s="18" t="str">
        <f t="shared" si="40"/>
        <v/>
      </c>
      <c r="K347" s="19" t="str">
        <f t="shared" si="45"/>
        <v/>
      </c>
      <c r="L347" s="19"/>
      <c r="M347" s="19"/>
      <c r="N347" s="19"/>
    </row>
    <row r="348" spans="1:14" customFormat="1">
      <c r="A348" s="20" t="str">
        <f>IF(BASE!B348=0,"",BASE!B348)</f>
        <v/>
      </c>
      <c r="B348" s="19" t="str">
        <f>IF(BASE!C348=0,"",BASE!C348)</f>
        <v/>
      </c>
      <c r="C348" s="19" t="str">
        <f>IF(BASE!D348=0,"",TRIM(BASE!D348))</f>
        <v/>
      </c>
      <c r="D348" s="21" t="str">
        <f>IFERROR(VLOOKUP(A348,AUX!A:B,2,0),"")</f>
        <v/>
      </c>
      <c r="E348" s="19" t="str">
        <f t="shared" si="41"/>
        <v/>
      </c>
      <c r="F348" s="19" t="str">
        <f t="shared" si="42"/>
        <v/>
      </c>
      <c r="G348" s="19" t="str">
        <f t="shared" si="43"/>
        <v/>
      </c>
      <c r="H348" s="19" t="str">
        <f t="shared" si="44"/>
        <v/>
      </c>
      <c r="I348" s="18" t="str">
        <f t="shared" si="39"/>
        <v/>
      </c>
      <c r="J348" s="18" t="str">
        <f t="shared" si="40"/>
        <v/>
      </c>
      <c r="K348" s="19" t="str">
        <f t="shared" si="45"/>
        <v/>
      </c>
      <c r="L348" s="19"/>
      <c r="M348" s="19"/>
      <c r="N348" s="19"/>
    </row>
    <row r="349" spans="1:14" customFormat="1">
      <c r="A349" s="20" t="str">
        <f>IF(BASE!B349=0,"",BASE!B349)</f>
        <v/>
      </c>
      <c r="B349" s="19" t="str">
        <f>IF(BASE!C349=0,"",BASE!C349)</f>
        <v/>
      </c>
      <c r="C349" s="19" t="str">
        <f>IF(BASE!D349=0,"",TRIM(BASE!D349))</f>
        <v/>
      </c>
      <c r="D349" s="21" t="str">
        <f>IFERROR(VLOOKUP(A349,AUX!A:B,2,0),"")</f>
        <v/>
      </c>
      <c r="E349" s="19" t="str">
        <f t="shared" si="41"/>
        <v/>
      </c>
      <c r="F349" s="19" t="str">
        <f t="shared" si="42"/>
        <v/>
      </c>
      <c r="G349" s="19" t="str">
        <f t="shared" si="43"/>
        <v/>
      </c>
      <c r="H349" s="19" t="str">
        <f t="shared" si="44"/>
        <v/>
      </c>
      <c r="I349" s="18" t="str">
        <f t="shared" si="39"/>
        <v/>
      </c>
      <c r="J349" s="18" t="str">
        <f t="shared" si="40"/>
        <v/>
      </c>
      <c r="K349" s="19" t="str">
        <f t="shared" si="45"/>
        <v/>
      </c>
      <c r="L349" s="19"/>
      <c r="M349" s="19"/>
      <c r="N349" s="19"/>
    </row>
    <row r="350" spans="1:14" customFormat="1">
      <c r="A350" s="20" t="str">
        <f>IF(BASE!B350=0,"",BASE!B350)</f>
        <v/>
      </c>
      <c r="B350" s="19" t="str">
        <f>IF(BASE!C350=0,"",BASE!C350)</f>
        <v/>
      </c>
      <c r="C350" s="19" t="str">
        <f>IF(BASE!D350=0,"",TRIM(BASE!D350))</f>
        <v/>
      </c>
      <c r="D350" s="21" t="str">
        <f>IFERROR(VLOOKUP(A350,AUX!A:B,2,0),"")</f>
        <v/>
      </c>
      <c r="E350" s="19" t="str">
        <f t="shared" si="41"/>
        <v/>
      </c>
      <c r="F350" s="19" t="str">
        <f t="shared" si="42"/>
        <v/>
      </c>
      <c r="G350" s="19" t="str">
        <f t="shared" si="43"/>
        <v/>
      </c>
      <c r="H350" s="19" t="str">
        <f t="shared" si="44"/>
        <v/>
      </c>
      <c r="I350" s="18" t="str">
        <f t="shared" si="39"/>
        <v/>
      </c>
      <c r="J350" s="18" t="str">
        <f t="shared" si="40"/>
        <v/>
      </c>
      <c r="K350" s="19" t="str">
        <f t="shared" si="45"/>
        <v/>
      </c>
      <c r="L350" s="19"/>
      <c r="M350" s="19"/>
      <c r="N350" s="19"/>
    </row>
    <row r="351" spans="1:14" customFormat="1">
      <c r="A351" s="20" t="str">
        <f>IF(BASE!B351=0,"",BASE!B351)</f>
        <v/>
      </c>
      <c r="B351" s="19" t="str">
        <f>IF(BASE!C351=0,"",BASE!C351)</f>
        <v/>
      </c>
      <c r="C351" s="19" t="str">
        <f>IF(BASE!D351=0,"",TRIM(BASE!D351))</f>
        <v/>
      </c>
      <c r="D351" s="21" t="str">
        <f>IFERROR(VLOOKUP(A351,AUX!A:B,2,0),"")</f>
        <v/>
      </c>
      <c r="E351" s="19" t="str">
        <f t="shared" si="41"/>
        <v/>
      </c>
      <c r="F351" s="19" t="str">
        <f t="shared" si="42"/>
        <v/>
      </c>
      <c r="G351" s="19" t="str">
        <f t="shared" si="43"/>
        <v/>
      </c>
      <c r="H351" s="19" t="str">
        <f t="shared" si="44"/>
        <v/>
      </c>
      <c r="I351" s="18" t="str">
        <f t="shared" si="39"/>
        <v/>
      </c>
      <c r="J351" s="18" t="str">
        <f t="shared" si="40"/>
        <v/>
      </c>
      <c r="K351" s="19" t="str">
        <f t="shared" si="45"/>
        <v/>
      </c>
      <c r="L351" s="19"/>
      <c r="M351" s="19"/>
      <c r="N351" s="19"/>
    </row>
    <row r="352" spans="1:14" customFormat="1">
      <c r="A352" s="20" t="str">
        <f>IF(BASE!B352=0,"",BASE!B352)</f>
        <v/>
      </c>
      <c r="B352" s="19" t="str">
        <f>IF(BASE!C352=0,"",BASE!C352)</f>
        <v/>
      </c>
      <c r="C352" s="19" t="str">
        <f>IF(BASE!D352=0,"",TRIM(BASE!D352))</f>
        <v/>
      </c>
      <c r="D352" s="21" t="str">
        <f>IFERROR(VLOOKUP(A352,AUX!A:B,2,0),"")</f>
        <v/>
      </c>
      <c r="E352" s="19" t="str">
        <f t="shared" si="41"/>
        <v/>
      </c>
      <c r="F352" s="19" t="str">
        <f t="shared" si="42"/>
        <v/>
      </c>
      <c r="G352" s="19" t="str">
        <f t="shared" si="43"/>
        <v/>
      </c>
      <c r="H352" s="19" t="str">
        <f t="shared" si="44"/>
        <v/>
      </c>
      <c r="I352" s="18" t="str">
        <f t="shared" ref="I352:I411" si="46">E352&amp;G352&amp;H352</f>
        <v/>
      </c>
      <c r="J352" s="18" t="str">
        <f t="shared" ref="J352:J411" si="47">IFERROR(LEFT(B352,FIND(" ",B352)),"")</f>
        <v/>
      </c>
      <c r="K352" s="19" t="str">
        <f t="shared" si="45"/>
        <v/>
      </c>
      <c r="L352" s="19"/>
      <c r="M352" s="19"/>
      <c r="N352" s="19"/>
    </row>
    <row r="353" spans="1:14" customFormat="1">
      <c r="A353" s="20" t="str">
        <f>IF(BASE!B353=0,"",BASE!B353)</f>
        <v/>
      </c>
      <c r="B353" s="19" t="str">
        <f>IF(BASE!C353=0,"",BASE!C353)</f>
        <v/>
      </c>
      <c r="C353" s="19" t="str">
        <f>IF(BASE!D353=0,"",TRIM(BASE!D353))</f>
        <v/>
      </c>
      <c r="D353" s="21" t="str">
        <f>IFERROR(VLOOKUP(A353,AUX!A:B,2,0),"")</f>
        <v/>
      </c>
      <c r="E353" s="19" t="str">
        <f t="shared" si="41"/>
        <v/>
      </c>
      <c r="F353" s="19" t="str">
        <f t="shared" si="42"/>
        <v/>
      </c>
      <c r="G353" s="19" t="str">
        <f t="shared" si="43"/>
        <v/>
      </c>
      <c r="H353" s="19" t="str">
        <f t="shared" si="44"/>
        <v/>
      </c>
      <c r="I353" s="18" t="str">
        <f t="shared" si="46"/>
        <v/>
      </c>
      <c r="J353" s="18" t="str">
        <f t="shared" si="47"/>
        <v/>
      </c>
      <c r="K353" s="19" t="str">
        <f t="shared" si="45"/>
        <v/>
      </c>
      <c r="L353" s="19"/>
      <c r="M353" s="19"/>
      <c r="N353" s="19"/>
    </row>
    <row r="354" spans="1:14" customFormat="1">
      <c r="A354" s="20" t="str">
        <f>IF(BASE!B354=0,"",BASE!B354)</f>
        <v/>
      </c>
      <c r="B354" s="19" t="str">
        <f>IF(BASE!C354=0,"",BASE!C354)</f>
        <v/>
      </c>
      <c r="C354" s="19" t="str">
        <f>IF(BASE!D354=0,"",TRIM(BASE!D354))</f>
        <v/>
      </c>
      <c r="D354" s="21" t="str">
        <f>IFERROR(VLOOKUP(A354,AUX!A:B,2,0),"")</f>
        <v/>
      </c>
      <c r="E354" s="19" t="str">
        <f t="shared" si="41"/>
        <v/>
      </c>
      <c r="F354" s="19" t="str">
        <f t="shared" si="42"/>
        <v/>
      </c>
      <c r="G354" s="19" t="str">
        <f t="shared" si="43"/>
        <v/>
      </c>
      <c r="H354" s="19" t="str">
        <f t="shared" si="44"/>
        <v/>
      </c>
      <c r="I354" s="18" t="str">
        <f t="shared" si="46"/>
        <v/>
      </c>
      <c r="J354" s="18" t="str">
        <f t="shared" si="47"/>
        <v/>
      </c>
      <c r="K354" s="19" t="str">
        <f t="shared" si="45"/>
        <v/>
      </c>
      <c r="L354" s="19"/>
      <c r="M354" s="19"/>
      <c r="N354" s="19"/>
    </row>
    <row r="355" spans="1:14" customFormat="1">
      <c r="A355" s="20" t="str">
        <f>IF(BASE!B355=0,"",BASE!B355)</f>
        <v/>
      </c>
      <c r="B355" s="19" t="str">
        <f>IF(BASE!C355=0,"",BASE!C355)</f>
        <v/>
      </c>
      <c r="C355" s="19" t="str">
        <f>IF(BASE!D355=0,"",TRIM(BASE!D355))</f>
        <v/>
      </c>
      <c r="D355" s="21" t="str">
        <f>IFERROR(VLOOKUP(A355,AUX!A:B,2,0),"")</f>
        <v/>
      </c>
      <c r="E355" s="19" t="str">
        <f t="shared" si="41"/>
        <v/>
      </c>
      <c r="F355" s="19" t="str">
        <f t="shared" si="42"/>
        <v/>
      </c>
      <c r="G355" s="19" t="str">
        <f t="shared" si="43"/>
        <v/>
      </c>
      <c r="H355" s="19" t="str">
        <f t="shared" si="44"/>
        <v/>
      </c>
      <c r="I355" s="18" t="str">
        <f t="shared" si="46"/>
        <v/>
      </c>
      <c r="J355" s="18" t="str">
        <f t="shared" si="47"/>
        <v/>
      </c>
      <c r="K355" s="19" t="str">
        <f t="shared" si="45"/>
        <v/>
      </c>
      <c r="L355" s="19"/>
      <c r="M355" s="19"/>
      <c r="N355" s="19"/>
    </row>
    <row r="356" spans="1:14" customFormat="1">
      <c r="A356" s="20" t="str">
        <f>IF(BASE!B356=0,"",BASE!B356)</f>
        <v/>
      </c>
      <c r="B356" s="19" t="str">
        <f>IF(BASE!C356=0,"",BASE!C356)</f>
        <v/>
      </c>
      <c r="C356" s="19" t="str">
        <f>IF(BASE!D356=0,"",TRIM(BASE!D356))</f>
        <v/>
      </c>
      <c r="D356" s="21" t="str">
        <f>IFERROR(VLOOKUP(A356,AUX!A:B,2,0),"")</f>
        <v/>
      </c>
      <c r="E356" s="19" t="str">
        <f t="shared" si="41"/>
        <v/>
      </c>
      <c r="F356" s="19" t="str">
        <f t="shared" si="42"/>
        <v/>
      </c>
      <c r="G356" s="19" t="str">
        <f t="shared" si="43"/>
        <v/>
      </c>
      <c r="H356" s="19" t="str">
        <f t="shared" si="44"/>
        <v/>
      </c>
      <c r="I356" s="18" t="str">
        <f t="shared" si="46"/>
        <v/>
      </c>
      <c r="J356" s="18" t="str">
        <f t="shared" si="47"/>
        <v/>
      </c>
      <c r="K356" s="19" t="str">
        <f t="shared" si="45"/>
        <v/>
      </c>
      <c r="L356" s="19"/>
      <c r="M356" s="19"/>
      <c r="N356" s="19"/>
    </row>
    <row r="357" spans="1:14" customFormat="1">
      <c r="A357" s="20" t="str">
        <f>IF(BASE!B357=0,"",BASE!B357)</f>
        <v/>
      </c>
      <c r="B357" s="19" t="str">
        <f>IF(BASE!C357=0,"",BASE!C357)</f>
        <v/>
      </c>
      <c r="C357" s="19" t="str">
        <f>IF(BASE!D357=0,"",TRIM(BASE!D357))</f>
        <v/>
      </c>
      <c r="D357" s="21" t="str">
        <f>IFERROR(VLOOKUP(A357,AUX!A:B,2,0),"")</f>
        <v/>
      </c>
      <c r="E357" s="19" t="str">
        <f t="shared" si="41"/>
        <v/>
      </c>
      <c r="F357" s="19" t="str">
        <f t="shared" si="42"/>
        <v/>
      </c>
      <c r="G357" s="19" t="str">
        <f t="shared" si="43"/>
        <v/>
      </c>
      <c r="H357" s="19" t="str">
        <f t="shared" si="44"/>
        <v/>
      </c>
      <c r="I357" s="18" t="str">
        <f t="shared" si="46"/>
        <v/>
      </c>
      <c r="J357" s="18" t="str">
        <f t="shared" si="47"/>
        <v/>
      </c>
      <c r="K357" s="19" t="str">
        <f t="shared" si="45"/>
        <v/>
      </c>
      <c r="L357" s="19"/>
      <c r="M357" s="19"/>
      <c r="N357" s="19"/>
    </row>
    <row r="358" spans="1:14" customFormat="1">
      <c r="A358" s="20" t="str">
        <f>IF(BASE!B358=0,"",BASE!B358)</f>
        <v/>
      </c>
      <c r="B358" s="19" t="str">
        <f>IF(BASE!C358=0,"",BASE!C358)</f>
        <v/>
      </c>
      <c r="C358" s="19" t="str">
        <f>IF(BASE!D358=0,"",TRIM(BASE!D358))</f>
        <v/>
      </c>
      <c r="D358" s="21" t="str">
        <f>IFERROR(VLOOKUP(A358,AUX!A:B,2,0),"")</f>
        <v/>
      </c>
      <c r="E358" s="19" t="str">
        <f t="shared" si="41"/>
        <v/>
      </c>
      <c r="F358" s="19" t="str">
        <f t="shared" si="42"/>
        <v/>
      </c>
      <c r="G358" s="19" t="str">
        <f t="shared" si="43"/>
        <v/>
      </c>
      <c r="H358" s="19" t="str">
        <f t="shared" si="44"/>
        <v/>
      </c>
      <c r="I358" s="18" t="str">
        <f t="shared" si="46"/>
        <v/>
      </c>
      <c r="J358" s="18" t="str">
        <f t="shared" si="47"/>
        <v/>
      </c>
      <c r="K358" s="19" t="str">
        <f t="shared" si="45"/>
        <v/>
      </c>
      <c r="L358" s="19"/>
      <c r="M358" s="19"/>
      <c r="N358" s="19"/>
    </row>
    <row r="359" spans="1:14" customFormat="1">
      <c r="A359" s="20" t="str">
        <f>IF(BASE!B359=0,"",BASE!B359)</f>
        <v/>
      </c>
      <c r="B359" s="19" t="str">
        <f>IF(BASE!C359=0,"",BASE!C359)</f>
        <v/>
      </c>
      <c r="C359" s="19" t="str">
        <f>IF(BASE!D359=0,"",TRIM(BASE!D359))</f>
        <v/>
      </c>
      <c r="D359" s="21" t="str">
        <f>IFERROR(VLOOKUP(A359,AUX!A:B,2,0),"")</f>
        <v/>
      </c>
      <c r="E359" s="19" t="str">
        <f t="shared" si="41"/>
        <v/>
      </c>
      <c r="F359" s="19" t="str">
        <f t="shared" si="42"/>
        <v/>
      </c>
      <c r="G359" s="19" t="str">
        <f t="shared" si="43"/>
        <v/>
      </c>
      <c r="H359" s="19" t="str">
        <f t="shared" si="44"/>
        <v/>
      </c>
      <c r="I359" s="18" t="str">
        <f t="shared" si="46"/>
        <v/>
      </c>
      <c r="J359" s="18" t="str">
        <f t="shared" si="47"/>
        <v/>
      </c>
      <c r="K359" s="19" t="str">
        <f t="shared" si="45"/>
        <v/>
      </c>
      <c r="L359" s="19"/>
      <c r="M359" s="19"/>
      <c r="N359" s="19"/>
    </row>
    <row r="360" spans="1:14" customFormat="1">
      <c r="A360" s="20" t="str">
        <f>IF(BASE!B360=0,"",BASE!B360)</f>
        <v/>
      </c>
      <c r="B360" s="19" t="str">
        <f>IF(BASE!C360=0,"",BASE!C360)</f>
        <v/>
      </c>
      <c r="C360" s="19" t="str">
        <f>IF(BASE!D360=0,"",TRIM(BASE!D360))</f>
        <v/>
      </c>
      <c r="D360" s="21" t="str">
        <f>IFERROR(VLOOKUP(A360,AUX!A:B,2,0),"")</f>
        <v/>
      </c>
      <c r="E360" s="19" t="str">
        <f t="shared" si="41"/>
        <v/>
      </c>
      <c r="F360" s="19" t="str">
        <f t="shared" si="42"/>
        <v/>
      </c>
      <c r="G360" s="19" t="str">
        <f t="shared" si="43"/>
        <v/>
      </c>
      <c r="H360" s="19" t="str">
        <f t="shared" si="44"/>
        <v/>
      </c>
      <c r="I360" s="18" t="str">
        <f t="shared" si="46"/>
        <v/>
      </c>
      <c r="J360" s="18" t="str">
        <f t="shared" si="47"/>
        <v/>
      </c>
      <c r="K360" s="19" t="str">
        <f t="shared" si="45"/>
        <v/>
      </c>
      <c r="L360" s="19"/>
      <c r="M360" s="19"/>
      <c r="N360" s="19"/>
    </row>
    <row r="361" spans="1:14" customFormat="1">
      <c r="A361" s="20" t="str">
        <f>IF(BASE!B361=0,"",BASE!B361)</f>
        <v/>
      </c>
      <c r="B361" s="19" t="str">
        <f>IF(BASE!C361=0,"",BASE!C361)</f>
        <v/>
      </c>
      <c r="C361" s="19" t="str">
        <f>IF(BASE!D361=0,"",TRIM(BASE!D361))</f>
        <v/>
      </c>
      <c r="D361" s="21" t="str">
        <f>IFERROR(VLOOKUP(A361,AUX!A:B,2,0),"")</f>
        <v/>
      </c>
      <c r="E361" s="19" t="str">
        <f t="shared" si="41"/>
        <v/>
      </c>
      <c r="F361" s="19" t="str">
        <f t="shared" si="42"/>
        <v/>
      </c>
      <c r="G361" s="19" t="str">
        <f t="shared" si="43"/>
        <v/>
      </c>
      <c r="H361" s="19" t="str">
        <f t="shared" si="44"/>
        <v/>
      </c>
      <c r="I361" s="18" t="str">
        <f t="shared" si="46"/>
        <v/>
      </c>
      <c r="J361" s="18" t="str">
        <f t="shared" si="47"/>
        <v/>
      </c>
      <c r="K361" s="19" t="str">
        <f t="shared" si="45"/>
        <v/>
      </c>
      <c r="L361" s="19"/>
      <c r="M361" s="19"/>
      <c r="N361" s="19"/>
    </row>
    <row r="362" spans="1:14" customFormat="1">
      <c r="A362" s="20" t="str">
        <f>IF(BASE!B362=0,"",BASE!B362)</f>
        <v/>
      </c>
      <c r="B362" s="19" t="str">
        <f>IF(BASE!C362=0,"",BASE!C362)</f>
        <v/>
      </c>
      <c r="C362" s="19" t="str">
        <f>IF(BASE!D362=0,"",TRIM(BASE!D362))</f>
        <v/>
      </c>
      <c r="D362" s="21" t="str">
        <f>IFERROR(VLOOKUP(A362,AUX!A:B,2,0),"")</f>
        <v/>
      </c>
      <c r="E362" s="19" t="str">
        <f t="shared" si="41"/>
        <v/>
      </c>
      <c r="F362" s="19" t="str">
        <f t="shared" si="42"/>
        <v/>
      </c>
      <c r="G362" s="19" t="str">
        <f t="shared" si="43"/>
        <v/>
      </c>
      <c r="H362" s="19" t="str">
        <f t="shared" si="44"/>
        <v/>
      </c>
      <c r="I362" s="18" t="str">
        <f t="shared" si="46"/>
        <v/>
      </c>
      <c r="J362" s="18" t="str">
        <f t="shared" si="47"/>
        <v/>
      </c>
      <c r="K362" s="19" t="str">
        <f t="shared" si="45"/>
        <v/>
      </c>
      <c r="L362" s="19"/>
      <c r="M362" s="19"/>
      <c r="N362" s="19"/>
    </row>
    <row r="363" spans="1:14" customFormat="1">
      <c r="A363" s="20" t="str">
        <f>IF(BASE!B363=0,"",BASE!B363)</f>
        <v/>
      </c>
      <c r="B363" s="19" t="str">
        <f>IF(BASE!C363=0,"",BASE!C363)</f>
        <v/>
      </c>
      <c r="C363" s="19" t="str">
        <f>IF(BASE!D363=0,"",TRIM(BASE!D363))</f>
        <v/>
      </c>
      <c r="D363" s="21" t="str">
        <f>IFERROR(VLOOKUP(A363,AUX!A:B,2,0),"")</f>
        <v/>
      </c>
      <c r="E363" s="19" t="str">
        <f t="shared" si="41"/>
        <v/>
      </c>
      <c r="F363" s="19" t="str">
        <f t="shared" si="42"/>
        <v/>
      </c>
      <c r="G363" s="19" t="str">
        <f t="shared" si="43"/>
        <v/>
      </c>
      <c r="H363" s="19" t="str">
        <f t="shared" si="44"/>
        <v/>
      </c>
      <c r="I363" s="18" t="str">
        <f t="shared" si="46"/>
        <v/>
      </c>
      <c r="J363" s="18" t="str">
        <f t="shared" si="47"/>
        <v/>
      </c>
      <c r="K363" s="19" t="str">
        <f t="shared" si="45"/>
        <v/>
      </c>
      <c r="L363" s="19"/>
      <c r="M363" s="19"/>
      <c r="N363" s="19"/>
    </row>
    <row r="364" spans="1:14" customFormat="1">
      <c r="A364" s="20" t="str">
        <f>IF(BASE!B364=0,"",BASE!B364)</f>
        <v/>
      </c>
      <c r="B364" s="19" t="str">
        <f>IF(BASE!C364=0,"",BASE!C364)</f>
        <v/>
      </c>
      <c r="C364" s="19" t="str">
        <f>IF(BASE!D364=0,"",TRIM(BASE!D364))</f>
        <v/>
      </c>
      <c r="D364" s="21" t="str">
        <f>IFERROR(VLOOKUP(A364,AUX!A:B,2,0),"")</f>
        <v/>
      </c>
      <c r="E364" s="19" t="str">
        <f t="shared" si="41"/>
        <v/>
      </c>
      <c r="F364" s="19" t="str">
        <f t="shared" si="42"/>
        <v/>
      </c>
      <c r="G364" s="19" t="str">
        <f t="shared" si="43"/>
        <v/>
      </c>
      <c r="H364" s="19" t="str">
        <f t="shared" si="44"/>
        <v/>
      </c>
      <c r="I364" s="18" t="str">
        <f t="shared" si="46"/>
        <v/>
      </c>
      <c r="J364" s="18" t="str">
        <f t="shared" si="47"/>
        <v/>
      </c>
      <c r="K364" s="19" t="str">
        <f t="shared" si="45"/>
        <v/>
      </c>
      <c r="L364" s="19"/>
      <c r="M364" s="19"/>
      <c r="N364" s="19"/>
    </row>
    <row r="365" spans="1:14" customFormat="1">
      <c r="A365" s="20" t="str">
        <f>IF(BASE!B365=0,"",BASE!B365)</f>
        <v/>
      </c>
      <c r="B365" s="19" t="str">
        <f>IF(BASE!C365=0,"",BASE!C365)</f>
        <v/>
      </c>
      <c r="C365" s="19" t="str">
        <f>IF(BASE!D365=0,"",TRIM(BASE!D365))</f>
        <v/>
      </c>
      <c r="D365" s="21" t="str">
        <f>IFERROR(VLOOKUP(A365,AUX!A:B,2,0),"")</f>
        <v/>
      </c>
      <c r="E365" s="19" t="str">
        <f t="shared" si="41"/>
        <v/>
      </c>
      <c r="F365" s="19" t="str">
        <f t="shared" si="42"/>
        <v/>
      </c>
      <c r="G365" s="19" t="str">
        <f t="shared" si="43"/>
        <v/>
      </c>
      <c r="H365" s="19" t="str">
        <f t="shared" si="44"/>
        <v/>
      </c>
      <c r="I365" s="18" t="str">
        <f t="shared" si="46"/>
        <v/>
      </c>
      <c r="J365" s="18" t="str">
        <f t="shared" si="47"/>
        <v/>
      </c>
      <c r="K365" s="19" t="str">
        <f t="shared" si="45"/>
        <v/>
      </c>
      <c r="L365" s="19"/>
      <c r="M365" s="19"/>
      <c r="N365" s="19"/>
    </row>
    <row r="366" spans="1:14" customFormat="1">
      <c r="A366" s="20" t="str">
        <f>IF(BASE!B366=0,"",BASE!B366)</f>
        <v/>
      </c>
      <c r="B366" s="19" t="str">
        <f>IF(BASE!C366=0,"",BASE!C366)</f>
        <v/>
      </c>
      <c r="C366" s="19" t="str">
        <f>IF(BASE!D366=0,"",TRIM(BASE!D366))</f>
        <v/>
      </c>
      <c r="D366" s="21" t="str">
        <f>IFERROR(VLOOKUP(A366,AUX!A:B,2,0),"")</f>
        <v/>
      </c>
      <c r="E366" s="19" t="str">
        <f t="shared" si="41"/>
        <v/>
      </c>
      <c r="F366" s="19" t="str">
        <f t="shared" si="42"/>
        <v/>
      </c>
      <c r="G366" s="19" t="str">
        <f t="shared" si="43"/>
        <v/>
      </c>
      <c r="H366" s="19" t="str">
        <f t="shared" si="44"/>
        <v/>
      </c>
      <c r="I366" s="18" t="str">
        <f t="shared" si="46"/>
        <v/>
      </c>
      <c r="J366" s="18" t="str">
        <f t="shared" si="47"/>
        <v/>
      </c>
      <c r="K366" s="19" t="str">
        <f t="shared" si="45"/>
        <v/>
      </c>
      <c r="L366" s="19"/>
      <c r="M366" s="19"/>
      <c r="N366" s="19"/>
    </row>
    <row r="367" spans="1:14" customFormat="1">
      <c r="A367" s="20" t="str">
        <f>IF(BASE!B367=0,"",BASE!B367)</f>
        <v/>
      </c>
      <c r="B367" s="19" t="str">
        <f>IF(BASE!C367=0,"",BASE!C367)</f>
        <v/>
      </c>
      <c r="C367" s="19" t="str">
        <f>IF(BASE!D367=0,"",TRIM(BASE!D367))</f>
        <v/>
      </c>
      <c r="D367" s="21" t="str">
        <f>IFERROR(VLOOKUP(A367,AUX!A:B,2,0),"")</f>
        <v/>
      </c>
      <c r="E367" s="19" t="str">
        <f t="shared" si="41"/>
        <v/>
      </c>
      <c r="F367" s="19" t="str">
        <f t="shared" si="42"/>
        <v/>
      </c>
      <c r="G367" s="19" t="str">
        <f t="shared" si="43"/>
        <v/>
      </c>
      <c r="H367" s="19" t="str">
        <f t="shared" si="44"/>
        <v/>
      </c>
      <c r="I367" s="18" t="str">
        <f t="shared" si="46"/>
        <v/>
      </c>
      <c r="J367" s="18" t="str">
        <f t="shared" si="47"/>
        <v/>
      </c>
      <c r="K367" s="19" t="str">
        <f t="shared" si="45"/>
        <v/>
      </c>
      <c r="L367" s="19"/>
      <c r="M367" s="19"/>
      <c r="N367" s="19"/>
    </row>
    <row r="368" spans="1:14" customFormat="1">
      <c r="A368" s="20" t="str">
        <f>IF(BASE!B368=0,"",BASE!B368)</f>
        <v/>
      </c>
      <c r="B368" s="19" t="str">
        <f>IF(BASE!C368=0,"",BASE!C368)</f>
        <v/>
      </c>
      <c r="C368" s="19" t="str">
        <f>IF(BASE!D368=0,"",TRIM(BASE!D368))</f>
        <v/>
      </c>
      <c r="D368" s="21" t="str">
        <f>IFERROR(VLOOKUP(A368,AUX!A:B,2,0),"")</f>
        <v/>
      </c>
      <c r="E368" s="19" t="str">
        <f t="shared" si="41"/>
        <v/>
      </c>
      <c r="F368" s="19" t="str">
        <f t="shared" si="42"/>
        <v/>
      </c>
      <c r="G368" s="19" t="str">
        <f t="shared" si="43"/>
        <v/>
      </c>
      <c r="H368" s="19" t="str">
        <f t="shared" si="44"/>
        <v/>
      </c>
      <c r="I368" s="18" t="str">
        <f t="shared" si="46"/>
        <v/>
      </c>
      <c r="J368" s="18" t="str">
        <f t="shared" si="47"/>
        <v/>
      </c>
      <c r="K368" s="19" t="str">
        <f t="shared" si="45"/>
        <v/>
      </c>
      <c r="L368" s="19"/>
      <c r="M368" s="19"/>
      <c r="N368" s="19"/>
    </row>
    <row r="369" spans="1:14" customFormat="1">
      <c r="A369" s="20" t="str">
        <f>IF(BASE!B369=0,"",BASE!B369)</f>
        <v/>
      </c>
      <c r="B369" s="19" t="str">
        <f>IF(BASE!C369=0,"",BASE!C369)</f>
        <v/>
      </c>
      <c r="C369" s="19" t="str">
        <f>IF(BASE!D369=0,"",TRIM(BASE!D369))</f>
        <v/>
      </c>
      <c r="D369" s="21" t="str">
        <f>IFERROR(VLOOKUP(A369,AUX!A:B,2,0),"")</f>
        <v/>
      </c>
      <c r="E369" s="19" t="str">
        <f t="shared" si="41"/>
        <v/>
      </c>
      <c r="F369" s="19" t="str">
        <f t="shared" si="42"/>
        <v/>
      </c>
      <c r="G369" s="19" t="str">
        <f t="shared" si="43"/>
        <v/>
      </c>
      <c r="H369" s="19" t="str">
        <f t="shared" si="44"/>
        <v/>
      </c>
      <c r="I369" s="18" t="str">
        <f t="shared" si="46"/>
        <v/>
      </c>
      <c r="J369" s="18" t="str">
        <f t="shared" si="47"/>
        <v/>
      </c>
      <c r="K369" s="19" t="str">
        <f t="shared" si="45"/>
        <v/>
      </c>
      <c r="L369" s="19"/>
      <c r="M369" s="19"/>
      <c r="N369" s="19"/>
    </row>
    <row r="370" spans="1:14" customFormat="1">
      <c r="A370" s="20" t="str">
        <f>IF(BASE!B370=0,"",BASE!B370)</f>
        <v/>
      </c>
      <c r="B370" s="19" t="str">
        <f>IF(BASE!C370=0,"",BASE!C370)</f>
        <v/>
      </c>
      <c r="C370" s="19" t="str">
        <f>IF(BASE!D370=0,"",TRIM(BASE!D370))</f>
        <v/>
      </c>
      <c r="D370" s="21" t="str">
        <f>IFERROR(VLOOKUP(A370,AUX!A:B,2,0),"")</f>
        <v/>
      </c>
      <c r="E370" s="19" t="str">
        <f t="shared" si="41"/>
        <v/>
      </c>
      <c r="F370" s="19" t="str">
        <f t="shared" si="42"/>
        <v/>
      </c>
      <c r="G370" s="19" t="str">
        <f t="shared" si="43"/>
        <v/>
      </c>
      <c r="H370" s="19" t="str">
        <f t="shared" si="44"/>
        <v/>
      </c>
      <c r="I370" s="18" t="str">
        <f t="shared" si="46"/>
        <v/>
      </c>
      <c r="J370" s="18" t="str">
        <f t="shared" si="47"/>
        <v/>
      </c>
      <c r="K370" s="19" t="str">
        <f t="shared" si="45"/>
        <v/>
      </c>
      <c r="L370" s="19"/>
      <c r="M370" s="19"/>
      <c r="N370" s="19"/>
    </row>
    <row r="371" spans="1:14" customFormat="1">
      <c r="A371" s="20" t="str">
        <f>IF(BASE!B371=0,"",BASE!B371)</f>
        <v/>
      </c>
      <c r="B371" s="19" t="str">
        <f>IF(BASE!C371=0,"",BASE!C371)</f>
        <v/>
      </c>
      <c r="C371" s="19" t="str">
        <f>IF(BASE!D371=0,"",TRIM(BASE!D371))</f>
        <v/>
      </c>
      <c r="D371" s="21" t="str">
        <f>IFERROR(VLOOKUP(A371,AUX!A:B,2,0),"")</f>
        <v/>
      </c>
      <c r="E371" s="19" t="str">
        <f t="shared" si="41"/>
        <v/>
      </c>
      <c r="F371" s="19" t="str">
        <f t="shared" si="42"/>
        <v/>
      </c>
      <c r="G371" s="19" t="str">
        <f t="shared" si="43"/>
        <v/>
      </c>
      <c r="H371" s="19" t="str">
        <f t="shared" si="44"/>
        <v/>
      </c>
      <c r="I371" s="18" t="str">
        <f t="shared" si="46"/>
        <v/>
      </c>
      <c r="J371" s="18" t="str">
        <f t="shared" si="47"/>
        <v/>
      </c>
      <c r="K371" s="19" t="str">
        <f t="shared" si="45"/>
        <v/>
      </c>
      <c r="L371" s="19"/>
      <c r="M371" s="19"/>
      <c r="N371" s="19"/>
    </row>
    <row r="372" spans="1:14" customFormat="1">
      <c r="A372" s="20" t="str">
        <f>IF(BASE!B372=0,"",BASE!B372)</f>
        <v/>
      </c>
      <c r="B372" s="19" t="str">
        <f>IF(BASE!C372=0,"",BASE!C372)</f>
        <v/>
      </c>
      <c r="C372" s="19" t="str">
        <f>IF(BASE!D372=0,"",TRIM(BASE!D372))</f>
        <v/>
      </c>
      <c r="D372" s="21" t="str">
        <f>IFERROR(VLOOKUP(A372,AUX!A:B,2,0),"")</f>
        <v/>
      </c>
      <c r="E372" s="19" t="str">
        <f t="shared" si="41"/>
        <v/>
      </c>
      <c r="F372" s="19" t="str">
        <f t="shared" si="42"/>
        <v/>
      </c>
      <c r="G372" s="19" t="str">
        <f t="shared" si="43"/>
        <v/>
      </c>
      <c r="H372" s="19" t="str">
        <f t="shared" si="44"/>
        <v/>
      </c>
      <c r="I372" s="18" t="str">
        <f t="shared" si="46"/>
        <v/>
      </c>
      <c r="J372" s="18" t="str">
        <f t="shared" si="47"/>
        <v/>
      </c>
      <c r="K372" s="19" t="str">
        <f t="shared" si="45"/>
        <v/>
      </c>
      <c r="L372" s="19"/>
      <c r="M372" s="19"/>
      <c r="N372" s="19"/>
    </row>
    <row r="373" spans="1:14" customFormat="1">
      <c r="A373" s="20" t="str">
        <f>IF(BASE!B373=0,"",BASE!B373)</f>
        <v/>
      </c>
      <c r="B373" s="19" t="str">
        <f>IF(BASE!C373=0,"",BASE!C373)</f>
        <v/>
      </c>
      <c r="C373" s="19" t="str">
        <f>IF(BASE!D373=0,"",TRIM(BASE!D373))</f>
        <v/>
      </c>
      <c r="D373" s="21" t="str">
        <f>IFERROR(VLOOKUP(A373,AUX!A:B,2,0),"")</f>
        <v/>
      </c>
      <c r="E373" s="19" t="str">
        <f t="shared" si="41"/>
        <v/>
      </c>
      <c r="F373" s="19" t="str">
        <f t="shared" si="42"/>
        <v/>
      </c>
      <c r="G373" s="19" t="str">
        <f t="shared" si="43"/>
        <v/>
      </c>
      <c r="H373" s="19" t="str">
        <f t="shared" si="44"/>
        <v/>
      </c>
      <c r="I373" s="18" t="str">
        <f t="shared" si="46"/>
        <v/>
      </c>
      <c r="J373" s="18" t="str">
        <f t="shared" si="47"/>
        <v/>
      </c>
      <c r="K373" s="19" t="str">
        <f t="shared" si="45"/>
        <v/>
      </c>
      <c r="L373" s="19"/>
      <c r="M373" s="19"/>
      <c r="N373" s="19"/>
    </row>
    <row r="374" spans="1:14" customFormat="1">
      <c r="A374" s="20" t="str">
        <f>IF(BASE!B374=0,"",BASE!B374)</f>
        <v/>
      </c>
      <c r="B374" s="19" t="str">
        <f>IF(BASE!C374=0,"",BASE!C374)</f>
        <v/>
      </c>
      <c r="C374" s="19" t="str">
        <f>IF(BASE!D374=0,"",TRIM(BASE!D374))</f>
        <v/>
      </c>
      <c r="D374" s="21" t="str">
        <f>IFERROR(VLOOKUP(A374,AUX!A:B,2,0),"")</f>
        <v/>
      </c>
      <c r="E374" s="19" t="str">
        <f t="shared" si="41"/>
        <v/>
      </c>
      <c r="F374" s="19" t="str">
        <f t="shared" si="42"/>
        <v/>
      </c>
      <c r="G374" s="19" t="str">
        <f t="shared" si="43"/>
        <v/>
      </c>
      <c r="H374" s="19" t="str">
        <f t="shared" si="44"/>
        <v/>
      </c>
      <c r="I374" s="18" t="str">
        <f t="shared" si="46"/>
        <v/>
      </c>
      <c r="J374" s="18" t="str">
        <f t="shared" si="47"/>
        <v/>
      </c>
      <c r="K374" s="19" t="str">
        <f t="shared" si="45"/>
        <v/>
      </c>
      <c r="L374" s="19"/>
      <c r="M374" s="19"/>
      <c r="N374" s="19"/>
    </row>
    <row r="375" spans="1:14" customFormat="1">
      <c r="A375" s="20" t="str">
        <f>IF(BASE!B375=0,"",BASE!B375)</f>
        <v/>
      </c>
      <c r="B375" s="19" t="str">
        <f>IF(BASE!C375=0,"",BASE!C375)</f>
        <v/>
      </c>
      <c r="C375" s="19" t="str">
        <f>IF(BASE!D375=0,"",TRIM(BASE!D375))</f>
        <v/>
      </c>
      <c r="D375" s="21" t="str">
        <f>IFERROR(VLOOKUP(A375,AUX!A:B,2,0),"")</f>
        <v/>
      </c>
      <c r="E375" s="19" t="str">
        <f t="shared" si="41"/>
        <v/>
      </c>
      <c r="F375" s="19" t="str">
        <f t="shared" si="42"/>
        <v/>
      </c>
      <c r="G375" s="19" t="str">
        <f t="shared" si="43"/>
        <v/>
      </c>
      <c r="H375" s="19" t="str">
        <f t="shared" si="44"/>
        <v/>
      </c>
      <c r="I375" s="18" t="str">
        <f t="shared" si="46"/>
        <v/>
      </c>
      <c r="J375" s="18" t="str">
        <f t="shared" si="47"/>
        <v/>
      </c>
      <c r="K375" s="19" t="str">
        <f t="shared" si="45"/>
        <v/>
      </c>
      <c r="L375" s="19"/>
      <c r="M375" s="19"/>
      <c r="N375" s="19"/>
    </row>
    <row r="376" spans="1:14" customFormat="1">
      <c r="A376" s="20" t="str">
        <f>IF(BASE!B376=0,"",BASE!B376)</f>
        <v/>
      </c>
      <c r="B376" s="19" t="str">
        <f>IF(BASE!C376=0,"",BASE!C376)</f>
        <v/>
      </c>
      <c r="C376" s="19" t="str">
        <f>IF(BASE!D376=0,"",TRIM(BASE!D376))</f>
        <v/>
      </c>
      <c r="D376" s="21" t="str">
        <f>IFERROR(VLOOKUP(A376,AUX!A:B,2,0),"")</f>
        <v/>
      </c>
      <c r="E376" s="19" t="str">
        <f t="shared" si="41"/>
        <v/>
      </c>
      <c r="F376" s="19" t="str">
        <f t="shared" si="42"/>
        <v/>
      </c>
      <c r="G376" s="19" t="str">
        <f t="shared" si="43"/>
        <v/>
      </c>
      <c r="H376" s="19" t="str">
        <f t="shared" si="44"/>
        <v/>
      </c>
      <c r="I376" s="18" t="str">
        <f t="shared" si="46"/>
        <v/>
      </c>
      <c r="J376" s="18" t="str">
        <f t="shared" si="47"/>
        <v/>
      </c>
      <c r="K376" s="19" t="str">
        <f t="shared" si="45"/>
        <v/>
      </c>
      <c r="L376" s="19"/>
      <c r="M376" s="19"/>
      <c r="N376" s="19"/>
    </row>
    <row r="377" spans="1:14" customFormat="1">
      <c r="A377" s="20" t="str">
        <f>IF(BASE!B377=0,"",BASE!B377)</f>
        <v/>
      </c>
      <c r="B377" s="19" t="str">
        <f>IF(BASE!C377=0,"",BASE!C377)</f>
        <v/>
      </c>
      <c r="C377" s="19" t="str">
        <f>IF(BASE!D377=0,"",TRIM(BASE!D377))</f>
        <v/>
      </c>
      <c r="D377" s="21" t="str">
        <f>IFERROR(VLOOKUP(A377,AUX!A:B,2,0),"")</f>
        <v/>
      </c>
      <c r="E377" s="19" t="str">
        <f t="shared" si="41"/>
        <v/>
      </c>
      <c r="F377" s="19" t="str">
        <f t="shared" si="42"/>
        <v/>
      </c>
      <c r="G377" s="19" t="str">
        <f t="shared" si="43"/>
        <v/>
      </c>
      <c r="H377" s="19" t="str">
        <f t="shared" si="44"/>
        <v/>
      </c>
      <c r="I377" s="18" t="str">
        <f t="shared" si="46"/>
        <v/>
      </c>
      <c r="J377" s="18" t="str">
        <f t="shared" si="47"/>
        <v/>
      </c>
      <c r="K377" s="19" t="str">
        <f t="shared" si="45"/>
        <v/>
      </c>
      <c r="L377" s="19"/>
      <c r="M377" s="19"/>
      <c r="N377" s="19"/>
    </row>
    <row r="378" spans="1:14" customFormat="1">
      <c r="A378" s="20" t="str">
        <f>IF(BASE!B378=0,"",BASE!B378)</f>
        <v/>
      </c>
      <c r="B378" s="19" t="str">
        <f>IF(BASE!C378=0,"",BASE!C378)</f>
        <v/>
      </c>
      <c r="C378" s="19" t="str">
        <f>IF(BASE!D378=0,"",TRIM(BASE!D378))</f>
        <v/>
      </c>
      <c r="D378" s="21" t="str">
        <f>IFERROR(VLOOKUP(A378,AUX!A:B,2,0),"")</f>
        <v/>
      </c>
      <c r="E378" s="19" t="str">
        <f t="shared" si="41"/>
        <v/>
      </c>
      <c r="F378" s="19" t="str">
        <f t="shared" si="42"/>
        <v/>
      </c>
      <c r="G378" s="19" t="str">
        <f t="shared" si="43"/>
        <v/>
      </c>
      <c r="H378" s="19" t="str">
        <f t="shared" si="44"/>
        <v/>
      </c>
      <c r="I378" s="18" t="str">
        <f t="shared" si="46"/>
        <v/>
      </c>
      <c r="J378" s="18" t="str">
        <f t="shared" si="47"/>
        <v/>
      </c>
      <c r="K378" s="19" t="str">
        <f t="shared" si="45"/>
        <v/>
      </c>
      <c r="L378" s="19"/>
      <c r="M378" s="19"/>
      <c r="N378" s="19"/>
    </row>
    <row r="379" spans="1:14" customFormat="1">
      <c r="A379" s="20" t="str">
        <f>IF(BASE!B379=0,"",BASE!B379)</f>
        <v/>
      </c>
      <c r="B379" s="19" t="str">
        <f>IF(BASE!C379=0,"",BASE!C379)</f>
        <v/>
      </c>
      <c r="C379" s="19" t="str">
        <f>IF(BASE!D379=0,"",TRIM(BASE!D379))</f>
        <v/>
      </c>
      <c r="D379" s="21" t="str">
        <f>IFERROR(VLOOKUP(A379,AUX!A:B,2,0),"")</f>
        <v/>
      </c>
      <c r="E379" s="19" t="str">
        <f t="shared" si="41"/>
        <v/>
      </c>
      <c r="F379" s="19" t="str">
        <f t="shared" si="42"/>
        <v/>
      </c>
      <c r="G379" s="19" t="str">
        <f t="shared" si="43"/>
        <v/>
      </c>
      <c r="H379" s="19" t="str">
        <f t="shared" si="44"/>
        <v/>
      </c>
      <c r="I379" s="18" t="str">
        <f t="shared" si="46"/>
        <v/>
      </c>
      <c r="J379" s="18" t="str">
        <f t="shared" si="47"/>
        <v/>
      </c>
      <c r="K379" s="19" t="str">
        <f t="shared" si="45"/>
        <v/>
      </c>
      <c r="L379" s="19"/>
      <c r="M379" s="19"/>
      <c r="N379" s="19"/>
    </row>
    <row r="380" spans="1:14" customFormat="1">
      <c r="A380" s="20" t="str">
        <f>IF(BASE!B380=0,"",BASE!B380)</f>
        <v/>
      </c>
      <c r="B380" s="19" t="str">
        <f>IF(BASE!C380=0,"",BASE!C380)</f>
        <v/>
      </c>
      <c r="C380" s="19" t="str">
        <f>IF(BASE!D380=0,"",TRIM(BASE!D380))</f>
        <v/>
      </c>
      <c r="D380" s="21" t="str">
        <f>IFERROR(VLOOKUP(A380,AUX!A:B,2,0),"")</f>
        <v/>
      </c>
      <c r="E380" s="19" t="str">
        <f t="shared" si="41"/>
        <v/>
      </c>
      <c r="F380" s="19" t="str">
        <f t="shared" si="42"/>
        <v/>
      </c>
      <c r="G380" s="19" t="str">
        <f t="shared" si="43"/>
        <v/>
      </c>
      <c r="H380" s="19" t="str">
        <f t="shared" si="44"/>
        <v/>
      </c>
      <c r="I380" s="18" t="str">
        <f t="shared" si="46"/>
        <v/>
      </c>
      <c r="J380" s="18" t="str">
        <f t="shared" si="47"/>
        <v/>
      </c>
      <c r="K380" s="19" t="str">
        <f t="shared" si="45"/>
        <v/>
      </c>
      <c r="L380" s="19"/>
      <c r="M380" s="19"/>
      <c r="N380" s="19"/>
    </row>
    <row r="381" spans="1:14" customFormat="1">
      <c r="A381" s="20" t="str">
        <f>IF(BASE!B381=0,"",BASE!B381)</f>
        <v/>
      </c>
      <c r="B381" s="19" t="str">
        <f>IF(BASE!C381=0,"",BASE!C381)</f>
        <v/>
      </c>
      <c r="C381" s="19" t="str">
        <f>IF(BASE!D381=0,"",TRIM(BASE!D381))</f>
        <v/>
      </c>
      <c r="D381" s="21" t="str">
        <f>IFERROR(VLOOKUP(A381,AUX!A:B,2,0),"")</f>
        <v/>
      </c>
      <c r="E381" s="19" t="str">
        <f t="shared" si="41"/>
        <v/>
      </c>
      <c r="F381" s="19" t="str">
        <f t="shared" si="42"/>
        <v/>
      </c>
      <c r="G381" s="19" t="str">
        <f t="shared" si="43"/>
        <v/>
      </c>
      <c r="H381" s="19" t="str">
        <f t="shared" si="44"/>
        <v/>
      </c>
      <c r="I381" s="18" t="str">
        <f t="shared" si="46"/>
        <v/>
      </c>
      <c r="J381" s="18" t="str">
        <f t="shared" si="47"/>
        <v/>
      </c>
      <c r="K381" s="19" t="str">
        <f t="shared" si="45"/>
        <v/>
      </c>
      <c r="L381" s="19"/>
      <c r="M381" s="19"/>
      <c r="N381" s="19"/>
    </row>
    <row r="382" spans="1:14" customFormat="1">
      <c r="A382" s="20" t="str">
        <f>IF(BASE!B382=0,"",BASE!B382)</f>
        <v/>
      </c>
      <c r="B382" s="19" t="str">
        <f>IF(BASE!C382=0,"",BASE!C382)</f>
        <v/>
      </c>
      <c r="C382" s="19" t="str">
        <f>IF(BASE!D382=0,"",TRIM(BASE!D382))</f>
        <v/>
      </c>
      <c r="D382" s="21" t="str">
        <f>IFERROR(VLOOKUP(A382,AUX!A:B,2,0),"")</f>
        <v/>
      </c>
      <c r="E382" s="19" t="str">
        <f t="shared" si="41"/>
        <v/>
      </c>
      <c r="F382" s="19" t="str">
        <f t="shared" si="42"/>
        <v/>
      </c>
      <c r="G382" s="19" t="str">
        <f t="shared" si="43"/>
        <v/>
      </c>
      <c r="H382" s="19" t="str">
        <f t="shared" si="44"/>
        <v/>
      </c>
      <c r="I382" s="18" t="str">
        <f t="shared" si="46"/>
        <v/>
      </c>
      <c r="J382" s="18" t="str">
        <f t="shared" si="47"/>
        <v/>
      </c>
      <c r="K382" s="19" t="str">
        <f t="shared" si="45"/>
        <v/>
      </c>
      <c r="L382" s="19"/>
      <c r="M382" s="19"/>
      <c r="N382" s="19"/>
    </row>
    <row r="383" spans="1:14" customFormat="1">
      <c r="A383" s="20" t="str">
        <f>IF(BASE!B383=0,"",BASE!B383)</f>
        <v/>
      </c>
      <c r="B383" s="19" t="str">
        <f>IF(BASE!C383=0,"",BASE!C383)</f>
        <v/>
      </c>
      <c r="C383" s="19" t="str">
        <f>IF(BASE!D383=0,"",TRIM(BASE!D383))</f>
        <v/>
      </c>
      <c r="D383" s="21" t="str">
        <f>IFERROR(VLOOKUP(A383,AUX!A:B,2,0),"")</f>
        <v/>
      </c>
      <c r="E383" s="19" t="str">
        <f t="shared" si="41"/>
        <v/>
      </c>
      <c r="F383" s="19" t="str">
        <f t="shared" si="42"/>
        <v/>
      </c>
      <c r="G383" s="19" t="str">
        <f t="shared" si="43"/>
        <v/>
      </c>
      <c r="H383" s="19" t="str">
        <f t="shared" si="44"/>
        <v/>
      </c>
      <c r="I383" s="18" t="str">
        <f t="shared" si="46"/>
        <v/>
      </c>
      <c r="J383" s="18" t="str">
        <f t="shared" si="47"/>
        <v/>
      </c>
      <c r="K383" s="19" t="str">
        <f t="shared" si="45"/>
        <v/>
      </c>
      <c r="L383" s="19"/>
      <c r="M383" s="19"/>
      <c r="N383" s="19"/>
    </row>
    <row r="384" spans="1:14" customFormat="1">
      <c r="A384" s="20" t="str">
        <f>IF(BASE!B384=0,"",BASE!B384)</f>
        <v/>
      </c>
      <c r="B384" s="19" t="str">
        <f>IF(BASE!C384=0,"",BASE!C384)</f>
        <v/>
      </c>
      <c r="C384" s="19" t="str">
        <f>IF(BASE!D384=0,"",TRIM(BASE!D384))</f>
        <v/>
      </c>
      <c r="D384" s="21" t="str">
        <f>IFERROR(VLOOKUP(A384,AUX!A:B,2,0),"")</f>
        <v/>
      </c>
      <c r="E384" s="19" t="str">
        <f t="shared" si="41"/>
        <v/>
      </c>
      <c r="F384" s="19" t="str">
        <f t="shared" si="42"/>
        <v/>
      </c>
      <c r="G384" s="19" t="str">
        <f t="shared" si="43"/>
        <v/>
      </c>
      <c r="H384" s="19" t="str">
        <f t="shared" si="44"/>
        <v/>
      </c>
      <c r="I384" s="18" t="str">
        <f t="shared" si="46"/>
        <v/>
      </c>
      <c r="J384" s="18" t="str">
        <f t="shared" si="47"/>
        <v/>
      </c>
      <c r="K384" s="19" t="str">
        <f t="shared" si="45"/>
        <v/>
      </c>
      <c r="L384" s="19"/>
      <c r="M384" s="19"/>
      <c r="N384" s="19"/>
    </row>
    <row r="385" spans="1:14" customFormat="1">
      <c r="A385" s="20" t="str">
        <f>IF(BASE!B385=0,"",BASE!B385)</f>
        <v/>
      </c>
      <c r="B385" s="19" t="str">
        <f>IF(BASE!C385=0,"",BASE!C385)</f>
        <v/>
      </c>
      <c r="C385" s="19" t="str">
        <f>IF(BASE!D385=0,"",TRIM(BASE!D385))</f>
        <v/>
      </c>
      <c r="D385" s="21" t="str">
        <f>IFERROR(VLOOKUP(A385,AUX!A:B,2,0),"")</f>
        <v/>
      </c>
      <c r="E385" s="19" t="str">
        <f t="shared" si="41"/>
        <v/>
      </c>
      <c r="F385" s="19" t="str">
        <f t="shared" si="42"/>
        <v/>
      </c>
      <c r="G385" s="19" t="str">
        <f t="shared" si="43"/>
        <v/>
      </c>
      <c r="H385" s="19" t="str">
        <f t="shared" si="44"/>
        <v/>
      </c>
      <c r="I385" s="18" t="str">
        <f t="shared" si="46"/>
        <v/>
      </c>
      <c r="J385" s="18" t="str">
        <f t="shared" si="47"/>
        <v/>
      </c>
      <c r="K385" s="19" t="str">
        <f t="shared" si="45"/>
        <v/>
      </c>
      <c r="L385" s="19"/>
      <c r="M385" s="19"/>
      <c r="N385" s="19"/>
    </row>
    <row r="386" spans="1:14" customFormat="1">
      <c r="A386" s="20" t="str">
        <f>IF(BASE!B386=0,"",BASE!B386)</f>
        <v/>
      </c>
      <c r="B386" s="19" t="str">
        <f>IF(BASE!C386=0,"",BASE!C386)</f>
        <v/>
      </c>
      <c r="C386" s="19" t="str">
        <f>IF(BASE!D386=0,"",TRIM(BASE!D386))</f>
        <v/>
      </c>
      <c r="D386" s="21" t="str">
        <f>IFERROR(VLOOKUP(A386,AUX!A:B,2,0),"")</f>
        <v/>
      </c>
      <c r="E386" s="19" t="str">
        <f t="shared" si="41"/>
        <v/>
      </c>
      <c r="F386" s="19" t="str">
        <f t="shared" si="42"/>
        <v/>
      </c>
      <c r="G386" s="19" t="str">
        <f t="shared" si="43"/>
        <v/>
      </c>
      <c r="H386" s="19" t="str">
        <f t="shared" si="44"/>
        <v/>
      </c>
      <c r="I386" s="18" t="str">
        <f t="shared" si="46"/>
        <v/>
      </c>
      <c r="J386" s="18" t="str">
        <f t="shared" si="47"/>
        <v/>
      </c>
      <c r="K386" s="19" t="str">
        <f t="shared" si="45"/>
        <v/>
      </c>
      <c r="L386" s="19"/>
      <c r="M386" s="19"/>
      <c r="N386" s="19"/>
    </row>
    <row r="387" spans="1:14" customFormat="1">
      <c r="A387" s="20" t="str">
        <f>IF(BASE!B387=0,"",BASE!B387)</f>
        <v/>
      </c>
      <c r="B387" s="19" t="str">
        <f>IF(BASE!C387=0,"",BASE!C387)</f>
        <v/>
      </c>
      <c r="C387" s="19" t="str">
        <f>IF(BASE!D387=0,"",TRIM(BASE!D387))</f>
        <v/>
      </c>
      <c r="D387" s="21" t="str">
        <f>IFERROR(VLOOKUP(A387,AUX!A:B,2,0),"")</f>
        <v/>
      </c>
      <c r="E387" s="19" t="str">
        <f t="shared" ref="E387:E411" si="48">RIGHT(LEFT(TRIM(C387),3),2)</f>
        <v/>
      </c>
      <c r="F387" s="19" t="str">
        <f t="shared" ref="F387:F411" si="49">TRIM(RIGHT(TRIM(C387),11))</f>
        <v/>
      </c>
      <c r="G387" s="19" t="str">
        <f t="shared" ref="G387:G411" si="50">TRIM(LEFT(F387,5))</f>
        <v/>
      </c>
      <c r="H387" s="19" t="str">
        <f t="shared" ref="H387:H411" si="51">RIGHT(TRIM(F387),5)</f>
        <v/>
      </c>
      <c r="I387" s="18" t="str">
        <f t="shared" si="46"/>
        <v/>
      </c>
      <c r="J387" s="18" t="str">
        <f t="shared" si="47"/>
        <v/>
      </c>
      <c r="K387" s="19" t="str">
        <f t="shared" ref="K387:K411" si="52">IF(A387="","","Prezado (a), "&amp;J387&amp;"
Devido a um imprevisto no voo do médico, o horário do seu procedimento precisou ser alterado para "&amp;TEXT(D387,"HH:MM")&amp;".
Pedimos, por gentileza, que chegue com 15 minutos de antecedência.
Pedimos desculpas pelo transtorno, agradecemos a compreensão e permanecemos à disposição para qualquer dúvida.
Atenciosamente,
Centro de Oftalmologia Brasil")</f>
        <v/>
      </c>
      <c r="L387" s="19"/>
      <c r="M387" s="19"/>
      <c r="N387" s="19"/>
    </row>
    <row r="388" spans="1:14" customFormat="1">
      <c r="A388" s="20" t="str">
        <f>IF(BASE!B388=0,"",BASE!B388)</f>
        <v/>
      </c>
      <c r="B388" s="19" t="str">
        <f>IF(BASE!C388=0,"",BASE!C388)</f>
        <v/>
      </c>
      <c r="C388" s="19" t="str">
        <f>IF(BASE!D388=0,"",TRIM(BASE!D388))</f>
        <v/>
      </c>
      <c r="D388" s="21" t="str">
        <f>IFERROR(VLOOKUP(A388,AUX!A:B,2,0),"")</f>
        <v/>
      </c>
      <c r="E388" s="19" t="str">
        <f t="shared" si="48"/>
        <v/>
      </c>
      <c r="F388" s="19" t="str">
        <f t="shared" si="49"/>
        <v/>
      </c>
      <c r="G388" s="19" t="str">
        <f t="shared" si="50"/>
        <v/>
      </c>
      <c r="H388" s="19" t="str">
        <f t="shared" si="51"/>
        <v/>
      </c>
      <c r="I388" s="18" t="str">
        <f t="shared" si="46"/>
        <v/>
      </c>
      <c r="J388" s="18" t="str">
        <f t="shared" si="47"/>
        <v/>
      </c>
      <c r="K388" s="19" t="str">
        <f t="shared" si="52"/>
        <v/>
      </c>
      <c r="L388" s="19"/>
      <c r="M388" s="19"/>
      <c r="N388" s="19"/>
    </row>
    <row r="389" spans="1:14" customFormat="1">
      <c r="A389" s="20" t="str">
        <f>IF(BASE!B389=0,"",BASE!B389)</f>
        <v/>
      </c>
      <c r="B389" s="19" t="str">
        <f>IF(BASE!C389=0,"",BASE!C389)</f>
        <v/>
      </c>
      <c r="C389" s="19" t="str">
        <f>IF(BASE!D389=0,"",TRIM(BASE!D389))</f>
        <v/>
      </c>
      <c r="D389" s="21" t="str">
        <f>IFERROR(VLOOKUP(A389,AUX!A:B,2,0),"")</f>
        <v/>
      </c>
      <c r="E389" s="19" t="str">
        <f t="shared" si="48"/>
        <v/>
      </c>
      <c r="F389" s="19" t="str">
        <f t="shared" si="49"/>
        <v/>
      </c>
      <c r="G389" s="19" t="str">
        <f t="shared" si="50"/>
        <v/>
      </c>
      <c r="H389" s="19" t="str">
        <f t="shared" si="51"/>
        <v/>
      </c>
      <c r="I389" s="18" t="str">
        <f t="shared" si="46"/>
        <v/>
      </c>
      <c r="J389" s="18" t="str">
        <f t="shared" si="47"/>
        <v/>
      </c>
      <c r="K389" s="19" t="str">
        <f t="shared" si="52"/>
        <v/>
      </c>
      <c r="L389" s="19"/>
      <c r="M389" s="19"/>
      <c r="N389" s="19"/>
    </row>
    <row r="390" spans="1:14" customFormat="1">
      <c r="A390" s="20" t="str">
        <f>IF(BASE!B390=0,"",BASE!B390)</f>
        <v/>
      </c>
      <c r="B390" s="19" t="str">
        <f>IF(BASE!C390=0,"",BASE!C390)</f>
        <v/>
      </c>
      <c r="C390" s="19" t="str">
        <f>IF(BASE!D390=0,"",TRIM(BASE!D390))</f>
        <v/>
      </c>
      <c r="D390" s="21" t="str">
        <f>IFERROR(VLOOKUP(A390,AUX!A:B,2,0),"")</f>
        <v/>
      </c>
      <c r="E390" s="19" t="str">
        <f t="shared" si="48"/>
        <v/>
      </c>
      <c r="F390" s="19" t="str">
        <f t="shared" si="49"/>
        <v/>
      </c>
      <c r="G390" s="19" t="str">
        <f t="shared" si="50"/>
        <v/>
      </c>
      <c r="H390" s="19" t="str">
        <f t="shared" si="51"/>
        <v/>
      </c>
      <c r="I390" s="18" t="str">
        <f t="shared" si="46"/>
        <v/>
      </c>
      <c r="J390" s="18" t="str">
        <f t="shared" si="47"/>
        <v/>
      </c>
      <c r="K390" s="19" t="str">
        <f t="shared" si="52"/>
        <v/>
      </c>
      <c r="L390" s="19"/>
      <c r="M390" s="19"/>
      <c r="N390" s="19"/>
    </row>
    <row r="391" spans="1:14" customFormat="1">
      <c r="A391" s="20" t="str">
        <f>IF(BASE!B391=0,"",BASE!B391)</f>
        <v/>
      </c>
      <c r="B391" s="19" t="str">
        <f>IF(BASE!C391=0,"",BASE!C391)</f>
        <v/>
      </c>
      <c r="C391" s="19" t="str">
        <f>IF(BASE!D391=0,"",TRIM(BASE!D391))</f>
        <v/>
      </c>
      <c r="D391" s="21" t="str">
        <f>IFERROR(VLOOKUP(A391,AUX!A:B,2,0),"")</f>
        <v/>
      </c>
      <c r="E391" s="19" t="str">
        <f t="shared" si="48"/>
        <v/>
      </c>
      <c r="F391" s="19" t="str">
        <f t="shared" si="49"/>
        <v/>
      </c>
      <c r="G391" s="19" t="str">
        <f t="shared" si="50"/>
        <v/>
      </c>
      <c r="H391" s="19" t="str">
        <f t="shared" si="51"/>
        <v/>
      </c>
      <c r="I391" s="18" t="str">
        <f t="shared" si="46"/>
        <v/>
      </c>
      <c r="J391" s="18" t="str">
        <f t="shared" si="47"/>
        <v/>
      </c>
      <c r="K391" s="19" t="str">
        <f t="shared" si="52"/>
        <v/>
      </c>
      <c r="L391" s="19"/>
      <c r="M391" s="19"/>
      <c r="N391" s="19"/>
    </row>
    <row r="392" spans="1:14" customFormat="1">
      <c r="A392" s="20" t="str">
        <f>IF(BASE!B392=0,"",BASE!B392)</f>
        <v/>
      </c>
      <c r="B392" s="19" t="str">
        <f>IF(BASE!C392=0,"",BASE!C392)</f>
        <v/>
      </c>
      <c r="C392" s="19" t="str">
        <f>IF(BASE!D392=0,"",TRIM(BASE!D392))</f>
        <v/>
      </c>
      <c r="D392" s="21" t="str">
        <f>IFERROR(VLOOKUP(A392,AUX!A:B,2,0),"")</f>
        <v/>
      </c>
      <c r="E392" s="19" t="str">
        <f t="shared" si="48"/>
        <v/>
      </c>
      <c r="F392" s="19" t="str">
        <f t="shared" si="49"/>
        <v/>
      </c>
      <c r="G392" s="19" t="str">
        <f t="shared" si="50"/>
        <v/>
      </c>
      <c r="H392" s="19" t="str">
        <f t="shared" si="51"/>
        <v/>
      </c>
      <c r="I392" s="18" t="str">
        <f t="shared" si="46"/>
        <v/>
      </c>
      <c r="J392" s="18" t="str">
        <f t="shared" si="47"/>
        <v/>
      </c>
      <c r="K392" s="19" t="str">
        <f t="shared" si="52"/>
        <v/>
      </c>
      <c r="L392" s="19"/>
      <c r="M392" s="19"/>
      <c r="N392" s="19"/>
    </row>
    <row r="393" spans="1:14" customFormat="1">
      <c r="A393" s="20" t="str">
        <f>IF(BASE!B393=0,"",BASE!B393)</f>
        <v/>
      </c>
      <c r="B393" s="19" t="str">
        <f>IF(BASE!C393=0,"",BASE!C393)</f>
        <v/>
      </c>
      <c r="C393" s="19" t="str">
        <f>IF(BASE!D393=0,"",TRIM(BASE!D393))</f>
        <v/>
      </c>
      <c r="D393" s="21" t="str">
        <f>IFERROR(VLOOKUP(A393,AUX!A:B,2,0),"")</f>
        <v/>
      </c>
      <c r="E393" s="19" t="str">
        <f t="shared" si="48"/>
        <v/>
      </c>
      <c r="F393" s="19" t="str">
        <f t="shared" si="49"/>
        <v/>
      </c>
      <c r="G393" s="19" t="str">
        <f t="shared" si="50"/>
        <v/>
      </c>
      <c r="H393" s="19" t="str">
        <f t="shared" si="51"/>
        <v/>
      </c>
      <c r="I393" s="18" t="str">
        <f t="shared" si="46"/>
        <v/>
      </c>
      <c r="J393" s="18" t="str">
        <f t="shared" si="47"/>
        <v/>
      </c>
      <c r="K393" s="19" t="str">
        <f t="shared" si="52"/>
        <v/>
      </c>
      <c r="L393" s="19"/>
      <c r="M393" s="19"/>
      <c r="N393" s="19"/>
    </row>
    <row r="394" spans="1:14" customFormat="1">
      <c r="A394" s="20" t="str">
        <f>IF(BASE!B394=0,"",BASE!B394)</f>
        <v/>
      </c>
      <c r="B394" s="19" t="str">
        <f>IF(BASE!C394=0,"",BASE!C394)</f>
        <v/>
      </c>
      <c r="C394" s="19" t="str">
        <f>IF(BASE!D394=0,"",TRIM(BASE!D394))</f>
        <v/>
      </c>
      <c r="D394" s="21" t="str">
        <f>IFERROR(VLOOKUP(A394,AUX!A:B,2,0),"")</f>
        <v/>
      </c>
      <c r="E394" s="19" t="str">
        <f t="shared" si="48"/>
        <v/>
      </c>
      <c r="F394" s="19" t="str">
        <f t="shared" si="49"/>
        <v/>
      </c>
      <c r="G394" s="19" t="str">
        <f t="shared" si="50"/>
        <v/>
      </c>
      <c r="H394" s="19" t="str">
        <f t="shared" si="51"/>
        <v/>
      </c>
      <c r="I394" s="18" t="str">
        <f t="shared" si="46"/>
        <v/>
      </c>
      <c r="J394" s="18" t="str">
        <f t="shared" si="47"/>
        <v/>
      </c>
      <c r="K394" s="19" t="str">
        <f t="shared" si="52"/>
        <v/>
      </c>
      <c r="L394" s="19"/>
      <c r="M394" s="19"/>
      <c r="N394" s="19"/>
    </row>
    <row r="395" spans="1:14" customFormat="1">
      <c r="A395" s="20" t="str">
        <f>IF(BASE!B395=0,"",BASE!B395)</f>
        <v/>
      </c>
      <c r="B395" s="19" t="str">
        <f>IF(BASE!C395=0,"",BASE!C395)</f>
        <v/>
      </c>
      <c r="C395" s="19" t="str">
        <f>IF(BASE!D395=0,"",TRIM(BASE!D395))</f>
        <v/>
      </c>
      <c r="D395" s="21" t="str">
        <f>IFERROR(VLOOKUP(A395,AUX!A:B,2,0),"")</f>
        <v/>
      </c>
      <c r="E395" s="19" t="str">
        <f t="shared" si="48"/>
        <v/>
      </c>
      <c r="F395" s="19" t="str">
        <f t="shared" si="49"/>
        <v/>
      </c>
      <c r="G395" s="19" t="str">
        <f t="shared" si="50"/>
        <v/>
      </c>
      <c r="H395" s="19" t="str">
        <f t="shared" si="51"/>
        <v/>
      </c>
      <c r="I395" s="18" t="str">
        <f t="shared" si="46"/>
        <v/>
      </c>
      <c r="J395" s="18" t="str">
        <f t="shared" si="47"/>
        <v/>
      </c>
      <c r="K395" s="19" t="str">
        <f t="shared" si="52"/>
        <v/>
      </c>
      <c r="L395" s="19"/>
      <c r="M395" s="19"/>
      <c r="N395" s="19"/>
    </row>
    <row r="396" spans="1:14" customFormat="1">
      <c r="A396" s="20" t="str">
        <f>IF(BASE!B396=0,"",BASE!B396)</f>
        <v/>
      </c>
      <c r="B396" s="19" t="str">
        <f>IF(BASE!C396=0,"",BASE!C396)</f>
        <v/>
      </c>
      <c r="C396" s="19" t="str">
        <f>IF(BASE!D396=0,"",TRIM(BASE!D396))</f>
        <v/>
      </c>
      <c r="D396" s="21" t="str">
        <f>IFERROR(VLOOKUP(A396,AUX!A:B,2,0),"")</f>
        <v/>
      </c>
      <c r="E396" s="19" t="str">
        <f t="shared" si="48"/>
        <v/>
      </c>
      <c r="F396" s="19" t="str">
        <f t="shared" si="49"/>
        <v/>
      </c>
      <c r="G396" s="19" t="str">
        <f t="shared" si="50"/>
        <v/>
      </c>
      <c r="H396" s="19" t="str">
        <f t="shared" si="51"/>
        <v/>
      </c>
      <c r="I396" s="18" t="str">
        <f t="shared" si="46"/>
        <v/>
      </c>
      <c r="J396" s="18" t="str">
        <f t="shared" si="47"/>
        <v/>
      </c>
      <c r="K396" s="19" t="str">
        <f t="shared" si="52"/>
        <v/>
      </c>
      <c r="L396" s="19"/>
      <c r="M396" s="19"/>
      <c r="N396" s="19"/>
    </row>
    <row r="397" spans="1:14" customFormat="1">
      <c r="A397" s="20" t="str">
        <f>IF(BASE!B397=0,"",BASE!B397)</f>
        <v/>
      </c>
      <c r="B397" s="19" t="str">
        <f>IF(BASE!C397=0,"",BASE!C397)</f>
        <v/>
      </c>
      <c r="C397" s="19" t="str">
        <f>IF(BASE!D397=0,"",TRIM(BASE!D397))</f>
        <v/>
      </c>
      <c r="D397" s="21" t="str">
        <f>IFERROR(VLOOKUP(A397,AUX!A:B,2,0),"")</f>
        <v/>
      </c>
      <c r="E397" s="19" t="str">
        <f t="shared" si="48"/>
        <v/>
      </c>
      <c r="F397" s="19" t="str">
        <f t="shared" si="49"/>
        <v/>
      </c>
      <c r="G397" s="19" t="str">
        <f t="shared" si="50"/>
        <v/>
      </c>
      <c r="H397" s="19" t="str">
        <f t="shared" si="51"/>
        <v/>
      </c>
      <c r="I397" s="18" t="str">
        <f t="shared" si="46"/>
        <v/>
      </c>
      <c r="J397" s="18" t="str">
        <f t="shared" si="47"/>
        <v/>
      </c>
      <c r="K397" s="19" t="str">
        <f t="shared" si="52"/>
        <v/>
      </c>
      <c r="L397" s="19"/>
      <c r="M397" s="19"/>
      <c r="N397" s="19"/>
    </row>
    <row r="398" spans="1:14" customFormat="1">
      <c r="A398" s="20" t="str">
        <f>IF(BASE!B398=0,"",BASE!B398)</f>
        <v/>
      </c>
      <c r="B398" s="19" t="str">
        <f>IF(BASE!C398=0,"",BASE!C398)</f>
        <v/>
      </c>
      <c r="C398" s="19" t="str">
        <f>IF(BASE!D398=0,"",TRIM(BASE!D398))</f>
        <v/>
      </c>
      <c r="D398" s="21" t="str">
        <f>IFERROR(VLOOKUP(A398,AUX!A:B,2,0),"")</f>
        <v/>
      </c>
      <c r="E398" s="19" t="str">
        <f t="shared" si="48"/>
        <v/>
      </c>
      <c r="F398" s="19" t="str">
        <f t="shared" si="49"/>
        <v/>
      </c>
      <c r="G398" s="19" t="str">
        <f t="shared" si="50"/>
        <v/>
      </c>
      <c r="H398" s="19" t="str">
        <f t="shared" si="51"/>
        <v/>
      </c>
      <c r="I398" s="18" t="str">
        <f t="shared" si="46"/>
        <v/>
      </c>
      <c r="J398" s="18" t="str">
        <f t="shared" si="47"/>
        <v/>
      </c>
      <c r="K398" s="19" t="str">
        <f t="shared" si="52"/>
        <v/>
      </c>
      <c r="L398" s="19"/>
      <c r="M398" s="19"/>
      <c r="N398" s="19"/>
    </row>
    <row r="399" spans="1:14" customFormat="1">
      <c r="A399" s="20" t="str">
        <f>IF(BASE!B399=0,"",BASE!B399)</f>
        <v/>
      </c>
      <c r="B399" s="19" t="str">
        <f>IF(BASE!C399=0,"",BASE!C399)</f>
        <v/>
      </c>
      <c r="C399" s="19" t="str">
        <f>IF(BASE!D399=0,"",TRIM(BASE!D399))</f>
        <v/>
      </c>
      <c r="D399" s="21" t="str">
        <f>IFERROR(VLOOKUP(A399,AUX!A:B,2,0),"")</f>
        <v/>
      </c>
      <c r="E399" s="19" t="str">
        <f t="shared" si="48"/>
        <v/>
      </c>
      <c r="F399" s="19" t="str">
        <f t="shared" si="49"/>
        <v/>
      </c>
      <c r="G399" s="19" t="str">
        <f t="shared" si="50"/>
        <v/>
      </c>
      <c r="H399" s="19" t="str">
        <f t="shared" si="51"/>
        <v/>
      </c>
      <c r="I399" s="18" t="str">
        <f t="shared" si="46"/>
        <v/>
      </c>
      <c r="J399" s="18" t="str">
        <f t="shared" si="47"/>
        <v/>
      </c>
      <c r="K399" s="19" t="str">
        <f t="shared" si="52"/>
        <v/>
      </c>
      <c r="L399" s="19"/>
      <c r="M399" s="19"/>
      <c r="N399" s="19"/>
    </row>
    <row r="400" spans="1:14" customFormat="1">
      <c r="A400" s="20" t="str">
        <f>IF(BASE!B400=0,"",BASE!B400)</f>
        <v/>
      </c>
      <c r="B400" s="19" t="str">
        <f>IF(BASE!C400=0,"",BASE!C400)</f>
        <v/>
      </c>
      <c r="C400" s="19" t="str">
        <f>IF(BASE!D400=0,"",TRIM(BASE!D400))</f>
        <v/>
      </c>
      <c r="D400" s="21" t="str">
        <f>IFERROR(VLOOKUP(A400,AUX!A:B,2,0),"")</f>
        <v/>
      </c>
      <c r="E400" s="19" t="str">
        <f t="shared" si="48"/>
        <v/>
      </c>
      <c r="F400" s="19" t="str">
        <f t="shared" si="49"/>
        <v/>
      </c>
      <c r="G400" s="19" t="str">
        <f t="shared" si="50"/>
        <v/>
      </c>
      <c r="H400" s="19" t="str">
        <f t="shared" si="51"/>
        <v/>
      </c>
      <c r="I400" s="18" t="str">
        <f t="shared" si="46"/>
        <v/>
      </c>
      <c r="J400" s="18" t="str">
        <f t="shared" si="47"/>
        <v/>
      </c>
      <c r="K400" s="19" t="str">
        <f t="shared" si="52"/>
        <v/>
      </c>
      <c r="L400" s="19"/>
      <c r="M400" s="19"/>
      <c r="N400" s="19"/>
    </row>
    <row r="401" spans="1:14" customFormat="1">
      <c r="A401" s="20" t="str">
        <f>IF(BASE!B401=0,"",BASE!B401)</f>
        <v/>
      </c>
      <c r="B401" s="19" t="str">
        <f>IF(BASE!C401=0,"",BASE!C401)</f>
        <v/>
      </c>
      <c r="C401" s="19" t="str">
        <f>IF(BASE!D401=0,"",TRIM(BASE!D401))</f>
        <v/>
      </c>
      <c r="D401" s="21" t="str">
        <f>IFERROR(VLOOKUP(A401,AUX!A:B,2,0),"")</f>
        <v/>
      </c>
      <c r="E401" s="19" t="str">
        <f t="shared" si="48"/>
        <v/>
      </c>
      <c r="F401" s="19" t="str">
        <f t="shared" si="49"/>
        <v/>
      </c>
      <c r="G401" s="19" t="str">
        <f t="shared" si="50"/>
        <v/>
      </c>
      <c r="H401" s="19" t="str">
        <f t="shared" si="51"/>
        <v/>
      </c>
      <c r="I401" s="18" t="str">
        <f t="shared" si="46"/>
        <v/>
      </c>
      <c r="J401" s="18" t="str">
        <f t="shared" si="47"/>
        <v/>
      </c>
      <c r="K401" s="19" t="str">
        <f t="shared" si="52"/>
        <v/>
      </c>
      <c r="L401" s="19"/>
      <c r="M401" s="19"/>
      <c r="N401" s="19"/>
    </row>
    <row r="402" spans="1:14" customFormat="1">
      <c r="A402" s="20" t="str">
        <f>IF(BASE!B402=0,"",BASE!B402)</f>
        <v/>
      </c>
      <c r="B402" s="19" t="str">
        <f>IF(BASE!C402=0,"",BASE!C402)</f>
        <v/>
      </c>
      <c r="C402" s="19" t="str">
        <f>IF(BASE!D402=0,"",TRIM(BASE!D402))</f>
        <v/>
      </c>
      <c r="D402" s="21" t="str">
        <f>IFERROR(VLOOKUP(A402,AUX!A:B,2,0),"")</f>
        <v/>
      </c>
      <c r="E402" s="19" t="str">
        <f t="shared" si="48"/>
        <v/>
      </c>
      <c r="F402" s="19" t="str">
        <f t="shared" si="49"/>
        <v/>
      </c>
      <c r="G402" s="19" t="str">
        <f t="shared" si="50"/>
        <v/>
      </c>
      <c r="H402" s="19" t="str">
        <f t="shared" si="51"/>
        <v/>
      </c>
      <c r="I402" s="18" t="str">
        <f t="shared" si="46"/>
        <v/>
      </c>
      <c r="J402" s="18" t="str">
        <f t="shared" si="47"/>
        <v/>
      </c>
      <c r="K402" s="19" t="str">
        <f t="shared" si="52"/>
        <v/>
      </c>
      <c r="L402" s="19"/>
      <c r="M402" s="19"/>
      <c r="N402" s="19"/>
    </row>
    <row r="403" spans="1:14" customFormat="1">
      <c r="A403" s="20" t="str">
        <f>IF(BASE!B403=0,"",BASE!B403)</f>
        <v/>
      </c>
      <c r="B403" s="19" t="str">
        <f>IF(BASE!C403=0,"",BASE!C403)</f>
        <v/>
      </c>
      <c r="C403" s="19" t="str">
        <f>IF(BASE!D403=0,"",TRIM(BASE!D403))</f>
        <v/>
      </c>
      <c r="D403" s="21" t="str">
        <f>IFERROR(VLOOKUP(A403,AUX!A:B,2,0),"")</f>
        <v/>
      </c>
      <c r="E403" s="19" t="str">
        <f t="shared" si="48"/>
        <v/>
      </c>
      <c r="F403" s="19" t="str">
        <f t="shared" si="49"/>
        <v/>
      </c>
      <c r="G403" s="19" t="str">
        <f t="shared" si="50"/>
        <v/>
      </c>
      <c r="H403" s="19" t="str">
        <f t="shared" si="51"/>
        <v/>
      </c>
      <c r="I403" s="18" t="str">
        <f t="shared" si="46"/>
        <v/>
      </c>
      <c r="J403" s="18" t="str">
        <f t="shared" si="47"/>
        <v/>
      </c>
      <c r="K403" s="19" t="str">
        <f t="shared" si="52"/>
        <v/>
      </c>
      <c r="L403" s="19"/>
      <c r="M403" s="19"/>
      <c r="N403" s="19"/>
    </row>
    <row r="404" spans="1:14" customFormat="1">
      <c r="A404" s="20" t="str">
        <f>IF(BASE!B404=0,"",BASE!B404)</f>
        <v/>
      </c>
      <c r="B404" s="19" t="str">
        <f>IF(BASE!C404=0,"",BASE!C404)</f>
        <v/>
      </c>
      <c r="C404" s="19" t="str">
        <f>IF(BASE!D404=0,"",TRIM(BASE!D404))</f>
        <v/>
      </c>
      <c r="D404" s="21" t="str">
        <f>IFERROR(VLOOKUP(A404,AUX!A:B,2,0),"")</f>
        <v/>
      </c>
      <c r="E404" s="19" t="str">
        <f t="shared" si="48"/>
        <v/>
      </c>
      <c r="F404" s="19" t="str">
        <f t="shared" si="49"/>
        <v/>
      </c>
      <c r="G404" s="19" t="str">
        <f t="shared" si="50"/>
        <v/>
      </c>
      <c r="H404" s="19" t="str">
        <f t="shared" si="51"/>
        <v/>
      </c>
      <c r="I404" s="18" t="str">
        <f t="shared" si="46"/>
        <v/>
      </c>
      <c r="J404" s="18" t="str">
        <f t="shared" si="47"/>
        <v/>
      </c>
      <c r="K404" s="19" t="str">
        <f t="shared" si="52"/>
        <v/>
      </c>
      <c r="L404" s="19"/>
      <c r="M404" s="19"/>
      <c r="N404" s="19"/>
    </row>
    <row r="405" spans="1:14" customFormat="1">
      <c r="A405" s="20" t="str">
        <f>IF(BASE!B405=0,"",BASE!B405)</f>
        <v/>
      </c>
      <c r="B405" s="19" t="str">
        <f>IF(BASE!C405=0,"",BASE!C405)</f>
        <v/>
      </c>
      <c r="C405" s="19" t="str">
        <f>IF(BASE!D405=0,"",TRIM(BASE!D405))</f>
        <v/>
      </c>
      <c r="D405" s="21" t="str">
        <f>IFERROR(VLOOKUP(A405,AUX!A:B,2,0),"")</f>
        <v/>
      </c>
      <c r="E405" s="19" t="str">
        <f t="shared" si="48"/>
        <v/>
      </c>
      <c r="F405" s="19" t="str">
        <f t="shared" si="49"/>
        <v/>
      </c>
      <c r="G405" s="19" t="str">
        <f t="shared" si="50"/>
        <v/>
      </c>
      <c r="H405" s="19" t="str">
        <f t="shared" si="51"/>
        <v/>
      </c>
      <c r="I405" s="18" t="str">
        <f t="shared" si="46"/>
        <v/>
      </c>
      <c r="J405" s="18" t="str">
        <f t="shared" si="47"/>
        <v/>
      </c>
      <c r="K405" s="19" t="str">
        <f t="shared" si="52"/>
        <v/>
      </c>
      <c r="L405" s="19"/>
      <c r="M405" s="19"/>
      <c r="N405" s="19"/>
    </row>
    <row r="406" spans="1:14" customFormat="1">
      <c r="A406" s="20" t="str">
        <f>IF(BASE!B406=0,"",BASE!B406)</f>
        <v/>
      </c>
      <c r="B406" s="19" t="str">
        <f>IF(BASE!C406=0,"",BASE!C406)</f>
        <v/>
      </c>
      <c r="C406" s="19" t="str">
        <f>IF(BASE!D406=0,"",TRIM(BASE!D406))</f>
        <v/>
      </c>
      <c r="D406" s="21" t="str">
        <f>IFERROR(VLOOKUP(A406,AUX!A:B,2,0),"")</f>
        <v/>
      </c>
      <c r="E406" s="19" t="str">
        <f t="shared" si="48"/>
        <v/>
      </c>
      <c r="F406" s="19" t="str">
        <f t="shared" si="49"/>
        <v/>
      </c>
      <c r="G406" s="19" t="str">
        <f t="shared" si="50"/>
        <v/>
      </c>
      <c r="H406" s="19" t="str">
        <f t="shared" si="51"/>
        <v/>
      </c>
      <c r="I406" s="18" t="str">
        <f t="shared" si="46"/>
        <v/>
      </c>
      <c r="J406" s="18" t="str">
        <f t="shared" si="47"/>
        <v/>
      </c>
      <c r="K406" s="19" t="str">
        <f t="shared" si="52"/>
        <v/>
      </c>
      <c r="L406" s="19"/>
      <c r="M406" s="19"/>
      <c r="N406" s="19"/>
    </row>
    <row r="407" spans="1:14" customFormat="1">
      <c r="A407" s="20" t="str">
        <f>IF(BASE!B407=0,"",BASE!B407)</f>
        <v/>
      </c>
      <c r="B407" s="19" t="str">
        <f>IF(BASE!C407=0,"",BASE!C407)</f>
        <v/>
      </c>
      <c r="C407" s="19" t="str">
        <f>IF(BASE!D407=0,"",TRIM(BASE!D407))</f>
        <v/>
      </c>
      <c r="D407" s="21" t="str">
        <f>IFERROR(VLOOKUP(A407,AUX!A:B,2,0),"")</f>
        <v/>
      </c>
      <c r="E407" s="19" t="str">
        <f t="shared" si="48"/>
        <v/>
      </c>
      <c r="F407" s="19" t="str">
        <f t="shared" si="49"/>
        <v/>
      </c>
      <c r="G407" s="19" t="str">
        <f t="shared" si="50"/>
        <v/>
      </c>
      <c r="H407" s="19" t="str">
        <f t="shared" si="51"/>
        <v/>
      </c>
      <c r="I407" s="18" t="str">
        <f t="shared" si="46"/>
        <v/>
      </c>
      <c r="J407" s="18" t="str">
        <f t="shared" si="47"/>
        <v/>
      </c>
      <c r="K407" s="19" t="str">
        <f t="shared" si="52"/>
        <v/>
      </c>
      <c r="L407" s="19"/>
      <c r="M407" s="19"/>
      <c r="N407" s="19"/>
    </row>
    <row r="408" spans="1:14" customFormat="1">
      <c r="A408" s="20" t="str">
        <f>IF(BASE!B408=0,"",BASE!B408)</f>
        <v/>
      </c>
      <c r="B408" s="19" t="str">
        <f>IF(BASE!C408=0,"",BASE!C408)</f>
        <v/>
      </c>
      <c r="C408" s="19" t="str">
        <f>IF(BASE!D408=0,"",TRIM(BASE!D408))</f>
        <v/>
      </c>
      <c r="D408" s="21" t="str">
        <f>IFERROR(VLOOKUP(A408,AUX!A:B,2,0),"")</f>
        <v/>
      </c>
      <c r="E408" s="19" t="str">
        <f t="shared" si="48"/>
        <v/>
      </c>
      <c r="F408" s="19" t="str">
        <f t="shared" si="49"/>
        <v/>
      </c>
      <c r="G408" s="19" t="str">
        <f t="shared" si="50"/>
        <v/>
      </c>
      <c r="H408" s="19" t="str">
        <f t="shared" si="51"/>
        <v/>
      </c>
      <c r="I408" s="18" t="str">
        <f t="shared" si="46"/>
        <v/>
      </c>
      <c r="J408" s="18" t="str">
        <f t="shared" si="47"/>
        <v/>
      </c>
      <c r="K408" s="19" t="str">
        <f t="shared" si="52"/>
        <v/>
      </c>
      <c r="L408" s="19"/>
      <c r="M408" s="19"/>
      <c r="N408" s="19"/>
    </row>
    <row r="409" spans="1:14" customFormat="1">
      <c r="A409" s="20" t="str">
        <f>IF(BASE!B409=0,"",BASE!B409)</f>
        <v/>
      </c>
      <c r="B409" s="19" t="str">
        <f>IF(BASE!C409=0,"",BASE!C409)</f>
        <v/>
      </c>
      <c r="C409" s="19" t="str">
        <f>IF(BASE!D409=0,"",TRIM(BASE!D409))</f>
        <v/>
      </c>
      <c r="D409" s="21" t="str">
        <f>IFERROR(VLOOKUP(A409,AUX!A:B,2,0),"")</f>
        <v/>
      </c>
      <c r="E409" s="19" t="str">
        <f t="shared" si="48"/>
        <v/>
      </c>
      <c r="F409" s="19" t="str">
        <f t="shared" si="49"/>
        <v/>
      </c>
      <c r="G409" s="19" t="str">
        <f t="shared" si="50"/>
        <v/>
      </c>
      <c r="H409" s="19" t="str">
        <f t="shared" si="51"/>
        <v/>
      </c>
      <c r="I409" s="18" t="str">
        <f t="shared" si="46"/>
        <v/>
      </c>
      <c r="J409" s="18" t="str">
        <f t="shared" si="47"/>
        <v/>
      </c>
      <c r="K409" s="19" t="str">
        <f t="shared" si="52"/>
        <v/>
      </c>
      <c r="L409" s="19"/>
      <c r="M409" s="19"/>
      <c r="N409" s="19"/>
    </row>
    <row r="410" spans="1:14" customFormat="1">
      <c r="A410" s="20" t="str">
        <f>IF(BASE!B410=0,"",BASE!B410)</f>
        <v/>
      </c>
      <c r="B410" s="19" t="str">
        <f>IF(BASE!C410=0,"",BASE!C410)</f>
        <v/>
      </c>
      <c r="C410" s="19" t="str">
        <f>IF(BASE!D410=0,"",TRIM(BASE!D410))</f>
        <v/>
      </c>
      <c r="D410" s="21" t="str">
        <f>IFERROR(VLOOKUP(A410,AUX!A:B,2,0),"")</f>
        <v/>
      </c>
      <c r="E410" s="19" t="str">
        <f t="shared" si="48"/>
        <v/>
      </c>
      <c r="F410" s="19" t="str">
        <f t="shared" si="49"/>
        <v/>
      </c>
      <c r="G410" s="19" t="str">
        <f t="shared" si="50"/>
        <v/>
      </c>
      <c r="H410" s="19" t="str">
        <f t="shared" si="51"/>
        <v/>
      </c>
      <c r="I410" s="18" t="str">
        <f t="shared" si="46"/>
        <v/>
      </c>
      <c r="J410" s="18" t="str">
        <f t="shared" si="47"/>
        <v/>
      </c>
      <c r="K410" s="19" t="str">
        <f t="shared" si="52"/>
        <v/>
      </c>
      <c r="L410" s="19"/>
      <c r="M410" s="19"/>
      <c r="N410" s="19"/>
    </row>
    <row r="411" spans="1:14" customFormat="1">
      <c r="A411" s="20" t="str">
        <f>IF(BASE!B411=0,"",BASE!B411)</f>
        <v/>
      </c>
      <c r="B411" s="19" t="str">
        <f>IF(BASE!C411=0,"",BASE!C411)</f>
        <v/>
      </c>
      <c r="C411" s="19" t="str">
        <f>IF(BASE!D411=0,"",TRIM(BASE!D411))</f>
        <v/>
      </c>
      <c r="D411" s="21" t="str">
        <f>IFERROR(VLOOKUP(A411,AUX!A:B,2,0),"")</f>
        <v/>
      </c>
      <c r="E411" s="19" t="str">
        <f t="shared" si="48"/>
        <v/>
      </c>
      <c r="F411" s="19" t="str">
        <f t="shared" si="49"/>
        <v/>
      </c>
      <c r="G411" s="19" t="str">
        <f t="shared" si="50"/>
        <v/>
      </c>
      <c r="H411" s="19" t="str">
        <f t="shared" si="51"/>
        <v/>
      </c>
      <c r="I411" s="18" t="str">
        <f t="shared" si="46"/>
        <v/>
      </c>
      <c r="J411" s="18" t="str">
        <f t="shared" si="47"/>
        <v/>
      </c>
      <c r="K411" s="19" t="str">
        <f t="shared" si="52"/>
        <v/>
      </c>
      <c r="L411" s="19"/>
      <c r="M411" s="19"/>
      <c r="N411" s="1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C8DF-FE5A-47D3-A322-BCCD7B82587C}">
  <sheetPr codeName="Planilha2"/>
  <dimension ref="A1:Q51"/>
  <sheetViews>
    <sheetView showGridLines="0" workbookViewId="0">
      <selection activeCell="F2" sqref="F2"/>
    </sheetView>
  </sheetViews>
  <sheetFormatPr defaultRowHeight="15"/>
  <cols>
    <col min="1" max="1" width="23.42578125" bestFit="1" customWidth="1"/>
    <col min="2" max="2" width="12.42578125" bestFit="1" customWidth="1"/>
    <col min="3" max="3" width="36.140625" bestFit="1" customWidth="1"/>
    <col min="4" max="4" width="18.5703125" style="68" customWidth="1"/>
    <col min="5" max="5" width="12.42578125" bestFit="1" customWidth="1"/>
    <col min="6" max="6" width="54.7109375" bestFit="1" customWidth="1"/>
    <col min="7" max="7" width="16.85546875" bestFit="1" customWidth="1"/>
    <col min="8" max="8" width="28.85546875" bestFit="1" customWidth="1"/>
    <col min="9" max="9" width="31.28515625" bestFit="1" customWidth="1"/>
    <col min="10" max="10" width="13.42578125" bestFit="1" customWidth="1"/>
    <col min="11" max="11" width="19.42578125" bestFit="1" customWidth="1"/>
    <col min="12" max="12" width="13.85546875" bestFit="1" customWidth="1"/>
    <col min="13" max="13" width="21.140625" bestFit="1" customWidth="1"/>
    <col min="14" max="14" width="30.5703125" bestFit="1" customWidth="1"/>
    <col min="15" max="15" width="18.28515625" bestFit="1" customWidth="1"/>
    <col min="16" max="16" width="24.5703125" bestFit="1" customWidth="1"/>
    <col min="17" max="17" width="21.5703125" bestFit="1" customWidth="1"/>
    <col min="18" max="18" width="14.85546875" bestFit="1" customWidth="1"/>
  </cols>
  <sheetData>
    <row r="1" spans="1:17" ht="37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2" t="s">
        <v>13</v>
      </c>
      <c r="O1" s="4" t="s">
        <v>14</v>
      </c>
      <c r="P1" s="3" t="s">
        <v>15</v>
      </c>
      <c r="Q1" s="2" t="s">
        <v>16</v>
      </c>
    </row>
    <row r="2" spans="1:17" ht="21.75" customHeight="1">
      <c r="A2" s="5"/>
      <c r="B2" s="6"/>
      <c r="C2" s="7"/>
      <c r="D2" s="61"/>
      <c r="E2" s="7"/>
      <c r="F2" s="8"/>
      <c r="G2" s="9"/>
      <c r="H2" s="9"/>
      <c r="I2" s="10"/>
      <c r="J2" s="7"/>
      <c r="K2" s="11"/>
      <c r="L2" s="7"/>
      <c r="M2" s="7"/>
      <c r="N2" s="7"/>
      <c r="O2" s="7"/>
      <c r="P2" s="12"/>
      <c r="Q2" s="13"/>
    </row>
    <row r="3" spans="1:17" ht="21.75" customHeight="1">
      <c r="A3" s="5"/>
      <c r="B3" s="6"/>
      <c r="C3" s="13"/>
      <c r="D3" s="5"/>
      <c r="E3" s="13"/>
      <c r="F3" s="13"/>
      <c r="G3" s="14"/>
      <c r="H3" s="15"/>
      <c r="I3" s="16"/>
      <c r="J3" s="13"/>
      <c r="K3" s="11"/>
      <c r="L3" s="13"/>
      <c r="M3" s="13"/>
      <c r="N3" s="13"/>
      <c r="O3" s="12"/>
      <c r="P3" s="11"/>
      <c r="Q3" s="13"/>
    </row>
    <row r="4" spans="1:17" ht="21.75" customHeight="1">
      <c r="A4" s="25"/>
      <c r="B4" s="26"/>
      <c r="C4" s="27"/>
      <c r="D4" s="62"/>
      <c r="E4" s="27"/>
      <c r="F4" s="28"/>
      <c r="G4" s="29"/>
      <c r="H4" s="29"/>
      <c r="I4" s="30"/>
      <c r="J4" s="27"/>
      <c r="K4" s="31"/>
      <c r="L4" s="27"/>
      <c r="M4" s="27"/>
      <c r="N4" s="27"/>
      <c r="O4" s="27"/>
      <c r="P4" s="32"/>
      <c r="Q4" s="33"/>
    </row>
    <row r="5" spans="1:17" ht="21.75" customHeight="1">
      <c r="A5" s="25"/>
      <c r="B5" s="26"/>
      <c r="C5" s="33"/>
      <c r="D5" s="25"/>
      <c r="E5" s="33"/>
      <c r="F5" s="33"/>
      <c r="G5" s="34"/>
      <c r="H5" s="35"/>
      <c r="I5" s="36"/>
      <c r="J5" s="33"/>
      <c r="K5" s="31"/>
      <c r="L5" s="33"/>
      <c r="M5" s="33"/>
      <c r="N5" s="33"/>
      <c r="O5" s="32"/>
      <c r="P5" s="31"/>
      <c r="Q5" s="33"/>
    </row>
    <row r="6" spans="1:17" ht="21.75" customHeight="1">
      <c r="A6" s="25"/>
      <c r="B6" s="26"/>
      <c r="C6" s="27"/>
      <c r="D6" s="62"/>
      <c r="E6" s="27"/>
      <c r="F6" s="28"/>
      <c r="G6" s="29"/>
      <c r="H6" s="29"/>
      <c r="I6" s="30"/>
      <c r="J6" s="27"/>
      <c r="K6" s="31"/>
      <c r="L6" s="27"/>
      <c r="M6" s="27"/>
      <c r="N6" s="27"/>
      <c r="O6" s="27"/>
      <c r="P6" s="32"/>
      <c r="Q6" s="33"/>
    </row>
    <row r="7" spans="1:17" ht="21.75" customHeight="1">
      <c r="A7" s="25"/>
      <c r="B7" s="26"/>
      <c r="C7" s="27"/>
      <c r="D7" s="62"/>
      <c r="E7" s="27"/>
      <c r="F7" s="28"/>
      <c r="G7" s="29"/>
      <c r="H7" s="29"/>
      <c r="I7" s="30"/>
      <c r="J7" s="27"/>
      <c r="K7" s="31"/>
      <c r="L7" s="27"/>
      <c r="M7" s="27"/>
      <c r="N7" s="27"/>
      <c r="O7" s="27"/>
      <c r="P7" s="32"/>
      <c r="Q7" s="33"/>
    </row>
    <row r="8" spans="1:17" ht="21.75" customHeight="1">
      <c r="A8" s="25"/>
      <c r="B8" s="26"/>
      <c r="C8" s="37"/>
      <c r="D8" s="63"/>
      <c r="E8" s="27"/>
      <c r="F8" s="28"/>
      <c r="G8" s="29"/>
      <c r="H8" s="29"/>
      <c r="I8" s="38"/>
      <c r="J8" s="27"/>
      <c r="K8" s="31"/>
      <c r="L8" s="37"/>
      <c r="M8" s="37"/>
      <c r="N8" s="27"/>
      <c r="O8" s="27"/>
      <c r="P8" s="32"/>
      <c r="Q8" s="33"/>
    </row>
    <row r="9" spans="1:17" ht="21.75" customHeight="1">
      <c r="A9" s="25"/>
      <c r="B9" s="26"/>
      <c r="C9" s="37"/>
      <c r="D9" s="63"/>
      <c r="E9" s="27"/>
      <c r="F9" s="33"/>
      <c r="G9" s="36"/>
      <c r="H9" s="29"/>
      <c r="I9" s="39"/>
      <c r="J9" s="37"/>
      <c r="K9" s="31"/>
      <c r="L9" s="37"/>
      <c r="M9" s="37"/>
      <c r="N9" s="27"/>
      <c r="O9" s="27"/>
      <c r="P9" s="32"/>
      <c r="Q9" s="33"/>
    </row>
    <row r="10" spans="1:17" ht="21.75" customHeight="1">
      <c r="A10" s="25"/>
      <c r="B10" s="26"/>
      <c r="C10" s="27"/>
      <c r="D10" s="62"/>
      <c r="E10" s="27"/>
      <c r="F10" s="28"/>
      <c r="G10" s="36"/>
      <c r="H10" s="29"/>
      <c r="I10" s="30"/>
      <c r="J10" s="40"/>
      <c r="K10" s="31"/>
      <c r="L10" s="27"/>
      <c r="M10" s="27"/>
      <c r="N10" s="27"/>
      <c r="O10" s="27"/>
      <c r="P10" s="32"/>
      <c r="Q10" s="33"/>
    </row>
    <row r="11" spans="1:17" ht="21.75" customHeight="1">
      <c r="A11" s="25"/>
      <c r="B11" s="26"/>
      <c r="C11" s="27"/>
      <c r="D11" s="25"/>
      <c r="E11" s="27"/>
      <c r="F11" s="28"/>
      <c r="G11" s="29"/>
      <c r="H11" s="29"/>
      <c r="I11" s="30"/>
      <c r="J11" s="37"/>
      <c r="K11" s="31"/>
      <c r="L11" s="27"/>
      <c r="M11" s="27"/>
      <c r="N11" s="27"/>
      <c r="O11" s="27"/>
      <c r="P11" s="32"/>
      <c r="Q11" s="33"/>
    </row>
    <row r="12" spans="1:17" ht="21.75" customHeight="1">
      <c r="A12" s="25"/>
      <c r="B12" s="26"/>
      <c r="C12" s="27"/>
      <c r="D12" s="64"/>
      <c r="E12" s="27"/>
      <c r="F12" s="33"/>
      <c r="G12" s="42"/>
      <c r="H12" s="29"/>
      <c r="I12" s="27"/>
      <c r="J12" s="43"/>
      <c r="K12" s="31"/>
      <c r="L12" s="27"/>
      <c r="M12" s="27"/>
      <c r="N12" s="27"/>
      <c r="O12" s="27"/>
      <c r="P12" s="32"/>
      <c r="Q12" s="33"/>
    </row>
    <row r="13" spans="1:17" ht="21.75" customHeight="1">
      <c r="A13" s="25"/>
      <c r="B13" s="26"/>
      <c r="C13" s="27"/>
      <c r="D13" s="62"/>
      <c r="E13" s="27"/>
      <c r="F13" s="33"/>
      <c r="G13" s="29"/>
      <c r="H13" s="29"/>
      <c r="I13" s="30"/>
      <c r="J13" s="27"/>
      <c r="K13" s="31"/>
      <c r="L13" s="27"/>
      <c r="M13" s="27"/>
      <c r="N13" s="27"/>
      <c r="O13" s="27"/>
      <c r="P13" s="32"/>
      <c r="Q13" s="33"/>
    </row>
    <row r="14" spans="1:17" ht="21.75" customHeight="1">
      <c r="A14" s="25"/>
      <c r="B14" s="26"/>
      <c r="C14" s="27"/>
      <c r="D14" s="62"/>
      <c r="E14" s="27"/>
      <c r="F14" s="33"/>
      <c r="G14" s="36"/>
      <c r="H14" s="29"/>
      <c r="I14" s="30"/>
      <c r="J14" s="27"/>
      <c r="K14" s="31"/>
      <c r="L14" s="27"/>
      <c r="M14" s="27"/>
      <c r="N14" s="44"/>
      <c r="O14" s="27"/>
      <c r="P14" s="32"/>
      <c r="Q14" s="33"/>
    </row>
    <row r="15" spans="1:17" ht="21.75" customHeight="1">
      <c r="A15" s="25"/>
      <c r="B15" s="45"/>
      <c r="C15" s="27"/>
      <c r="D15" s="69"/>
      <c r="E15" s="27"/>
      <c r="F15" s="28"/>
      <c r="G15" s="29"/>
      <c r="H15" s="29"/>
      <c r="I15" s="30"/>
      <c r="J15" s="27"/>
      <c r="K15" s="31"/>
      <c r="L15" s="27"/>
      <c r="M15" s="27"/>
      <c r="N15" s="27"/>
      <c r="O15" s="27"/>
      <c r="P15" s="32"/>
      <c r="Q15" s="33"/>
    </row>
    <row r="16" spans="1:17" ht="15.75" customHeight="1">
      <c r="A16" s="25"/>
      <c r="B16" s="45"/>
      <c r="C16" s="33"/>
      <c r="D16" s="65"/>
      <c r="E16" s="27"/>
      <c r="F16" s="28"/>
      <c r="G16" s="46"/>
      <c r="H16" s="29"/>
      <c r="I16" s="36"/>
      <c r="J16" s="33"/>
      <c r="K16" s="31"/>
      <c r="L16" s="27"/>
      <c r="M16" s="27"/>
      <c r="N16" s="27"/>
      <c r="O16" s="27"/>
      <c r="P16" s="32"/>
      <c r="Q16" s="33"/>
    </row>
    <row r="17" spans="1:17">
      <c r="A17" s="25"/>
      <c r="B17" s="45"/>
      <c r="C17" s="27"/>
      <c r="D17" s="62"/>
      <c r="E17" s="27"/>
      <c r="F17" s="33"/>
      <c r="G17" s="36"/>
      <c r="H17" s="29"/>
      <c r="I17" s="30"/>
      <c r="J17" s="27"/>
      <c r="K17" s="31"/>
      <c r="L17" s="27"/>
      <c r="M17" s="27"/>
      <c r="N17" s="27"/>
      <c r="O17" s="27"/>
      <c r="P17" s="32"/>
      <c r="Q17" s="33"/>
    </row>
    <row r="18" spans="1:17">
      <c r="A18" s="25"/>
      <c r="B18" s="45"/>
      <c r="C18" s="27"/>
      <c r="D18" s="62"/>
      <c r="E18" s="27"/>
      <c r="F18" s="28"/>
      <c r="G18" s="46"/>
      <c r="H18" s="29"/>
      <c r="I18" s="30"/>
      <c r="J18" s="27"/>
      <c r="K18" s="31"/>
      <c r="L18" s="27"/>
      <c r="M18" s="27"/>
      <c r="N18" s="27"/>
      <c r="O18" s="27"/>
      <c r="P18" s="32"/>
      <c r="Q18" s="33"/>
    </row>
    <row r="19" spans="1:17">
      <c r="A19" s="47"/>
      <c r="B19" s="48"/>
      <c r="C19" s="40"/>
      <c r="D19" s="66"/>
      <c r="E19" s="40"/>
      <c r="F19" s="28"/>
      <c r="G19" s="29"/>
      <c r="H19" s="29"/>
      <c r="I19" s="49"/>
      <c r="J19" s="40"/>
      <c r="K19" s="50"/>
      <c r="L19" s="40"/>
      <c r="M19" s="40"/>
      <c r="N19" s="40"/>
      <c r="O19" s="40"/>
      <c r="P19" s="51"/>
      <c r="Q19" s="28"/>
    </row>
    <row r="20" spans="1:17">
      <c r="A20" s="25"/>
      <c r="B20" s="45"/>
      <c r="C20" s="27"/>
      <c r="D20" s="62"/>
      <c r="E20" s="27"/>
      <c r="F20" s="33"/>
      <c r="G20" s="36"/>
      <c r="H20" s="29"/>
      <c r="I20" s="30"/>
      <c r="J20" s="27"/>
      <c r="K20" s="31"/>
      <c r="L20" s="27"/>
      <c r="M20" s="27"/>
      <c r="N20" s="27"/>
      <c r="O20" s="27"/>
      <c r="P20" s="32"/>
      <c r="Q20" s="33"/>
    </row>
    <row r="21" spans="1:17">
      <c r="A21" s="25"/>
      <c r="B21" s="45"/>
      <c r="C21" s="27"/>
      <c r="D21" s="62"/>
      <c r="E21" s="27"/>
      <c r="F21" s="28"/>
      <c r="G21" s="46"/>
      <c r="H21" s="29"/>
      <c r="I21" s="52"/>
      <c r="J21" s="40"/>
      <c r="K21" s="31"/>
      <c r="L21" s="27"/>
      <c r="M21" s="27"/>
      <c r="N21" s="27"/>
      <c r="O21" s="27"/>
      <c r="P21" s="32"/>
      <c r="Q21" s="33"/>
    </row>
    <row r="22" spans="1:17">
      <c r="A22" s="25"/>
      <c r="B22" s="45"/>
      <c r="C22" s="27"/>
      <c r="D22" s="62"/>
      <c r="E22" s="27"/>
      <c r="F22" s="28"/>
      <c r="G22" s="46"/>
      <c r="H22" s="29"/>
      <c r="I22" s="30"/>
      <c r="J22" s="40"/>
      <c r="K22" s="31"/>
      <c r="L22" s="27"/>
      <c r="M22" s="27"/>
      <c r="N22" s="27"/>
      <c r="O22" s="27"/>
      <c r="P22" s="32"/>
      <c r="Q22" s="33"/>
    </row>
    <row r="23" spans="1:17">
      <c r="A23" s="25"/>
      <c r="B23" s="45"/>
      <c r="C23" s="27"/>
      <c r="D23" s="62"/>
      <c r="E23" s="27"/>
      <c r="F23" s="28"/>
      <c r="G23" s="29"/>
      <c r="H23" s="29"/>
      <c r="I23" s="30"/>
      <c r="J23" s="40"/>
      <c r="K23" s="31"/>
      <c r="L23" s="27"/>
      <c r="M23" s="27"/>
      <c r="N23" s="27"/>
      <c r="O23" s="27"/>
      <c r="P23" s="32"/>
      <c r="Q23" s="33"/>
    </row>
    <row r="24" spans="1:17">
      <c r="A24" s="25"/>
      <c r="B24" s="45"/>
      <c r="C24" s="27"/>
      <c r="D24" s="62"/>
      <c r="E24" s="27"/>
      <c r="F24" s="33"/>
      <c r="G24" s="53"/>
      <c r="H24" s="29"/>
      <c r="I24" s="30"/>
      <c r="J24" s="40"/>
      <c r="K24" s="31"/>
      <c r="L24" s="27"/>
      <c r="M24" s="27"/>
      <c r="N24" s="27"/>
      <c r="O24" s="27"/>
      <c r="P24" s="32"/>
      <c r="Q24" s="33"/>
    </row>
    <row r="25" spans="1:17">
      <c r="A25" s="25"/>
      <c r="B25" s="45"/>
      <c r="C25" s="27"/>
      <c r="D25" s="62"/>
      <c r="E25" s="27"/>
      <c r="F25" s="33"/>
      <c r="G25" s="36"/>
      <c r="H25" s="29"/>
      <c r="I25" s="30"/>
      <c r="J25" s="40"/>
      <c r="K25" s="31"/>
      <c r="L25" s="27"/>
      <c r="M25" s="27"/>
      <c r="N25" s="27"/>
      <c r="O25" s="27"/>
      <c r="P25" s="32"/>
      <c r="Q25" s="33"/>
    </row>
    <row r="26" spans="1:17">
      <c r="A26" s="25"/>
      <c r="B26" s="45"/>
      <c r="C26" s="27"/>
      <c r="D26" s="65"/>
      <c r="E26" s="27"/>
      <c r="F26" s="28"/>
      <c r="G26" s="46"/>
      <c r="H26" s="29"/>
      <c r="I26" s="30"/>
      <c r="J26" s="27"/>
      <c r="K26" s="31"/>
      <c r="L26" s="27"/>
      <c r="M26" s="27"/>
      <c r="N26" s="27"/>
      <c r="O26" s="27"/>
      <c r="P26" s="32"/>
      <c r="Q26" s="33"/>
    </row>
    <row r="27" spans="1:17">
      <c r="A27" s="25"/>
      <c r="B27" s="45"/>
      <c r="C27" s="27"/>
      <c r="D27" s="65"/>
      <c r="E27" s="27"/>
      <c r="F27" s="33"/>
      <c r="G27" s="29"/>
      <c r="H27" s="29"/>
      <c r="I27" s="30"/>
      <c r="J27" s="27"/>
      <c r="K27" s="31"/>
      <c r="L27" s="27"/>
      <c r="M27" s="27"/>
      <c r="N27" s="27"/>
      <c r="O27" s="27"/>
      <c r="P27" s="32"/>
      <c r="Q27" s="33"/>
    </row>
    <row r="28" spans="1:17">
      <c r="A28" s="25"/>
      <c r="B28" s="45"/>
      <c r="C28" s="27"/>
      <c r="D28" s="65"/>
      <c r="E28" s="27"/>
      <c r="F28" s="28"/>
      <c r="G28" s="29"/>
      <c r="H28" s="54"/>
      <c r="I28" s="30"/>
      <c r="J28" s="27"/>
      <c r="K28" s="31"/>
      <c r="L28" s="27"/>
      <c r="M28" s="27"/>
      <c r="N28" s="27"/>
      <c r="O28" s="27"/>
      <c r="P28" s="32"/>
      <c r="Q28" s="33"/>
    </row>
    <row r="29" spans="1:17">
      <c r="A29" s="25"/>
      <c r="B29" s="45"/>
      <c r="C29" s="27"/>
      <c r="D29" s="65"/>
      <c r="E29" s="27"/>
      <c r="F29" s="28"/>
      <c r="G29" s="46"/>
      <c r="H29" s="54"/>
      <c r="I29" s="30"/>
      <c r="J29" s="27"/>
      <c r="K29" s="31"/>
      <c r="L29" s="27"/>
      <c r="M29" s="27"/>
      <c r="N29" s="27"/>
      <c r="O29" s="27"/>
      <c r="P29" s="32"/>
      <c r="Q29" s="33"/>
    </row>
    <row r="30" spans="1:17">
      <c r="A30" s="25"/>
      <c r="B30" s="45"/>
      <c r="C30" s="27"/>
      <c r="D30" s="65"/>
      <c r="E30" s="27"/>
      <c r="F30" s="28"/>
      <c r="G30" s="46"/>
      <c r="H30" s="54"/>
      <c r="I30" s="30"/>
      <c r="J30" s="27"/>
      <c r="K30" s="31"/>
      <c r="L30" s="27"/>
      <c r="M30" s="27"/>
      <c r="N30" s="27"/>
      <c r="O30" s="27"/>
      <c r="P30" s="32"/>
      <c r="Q30" s="33"/>
    </row>
    <row r="31" spans="1:17">
      <c r="A31" s="25"/>
      <c r="B31" s="45"/>
      <c r="C31" s="27"/>
      <c r="D31" s="65"/>
      <c r="E31" s="27"/>
      <c r="F31" s="28"/>
      <c r="G31" s="46"/>
      <c r="H31" s="54"/>
      <c r="I31" s="30"/>
      <c r="J31" s="27"/>
      <c r="K31" s="31"/>
      <c r="L31" s="27"/>
      <c r="M31" s="27"/>
      <c r="N31" s="27"/>
      <c r="O31" s="27"/>
      <c r="P31" s="32"/>
      <c r="Q31" s="33"/>
    </row>
    <row r="32" spans="1:17">
      <c r="A32" s="25"/>
      <c r="B32" s="45"/>
      <c r="C32" s="55"/>
      <c r="D32" s="65"/>
      <c r="E32" s="27"/>
      <c r="F32" s="33"/>
      <c r="G32" s="53"/>
      <c r="H32" s="41"/>
      <c r="I32" s="30"/>
      <c r="J32" s="27"/>
      <c r="K32" s="31"/>
      <c r="L32" s="27"/>
      <c r="M32" s="27"/>
      <c r="N32" s="27"/>
      <c r="O32" s="27"/>
      <c r="P32" s="32"/>
      <c r="Q32" s="33"/>
    </row>
    <row r="33" spans="1:17">
      <c r="A33" s="25"/>
      <c r="B33" s="45"/>
      <c r="C33" s="27"/>
      <c r="D33" s="65"/>
      <c r="E33" s="27"/>
      <c r="F33" s="28"/>
      <c r="G33" s="46"/>
      <c r="H33" s="54"/>
      <c r="I33" s="30"/>
      <c r="J33" s="27"/>
      <c r="K33" s="31"/>
      <c r="L33" s="27"/>
      <c r="M33" s="27"/>
      <c r="N33" s="27"/>
      <c r="O33" s="27"/>
      <c r="P33" s="32"/>
      <c r="Q33" s="33"/>
    </row>
    <row r="34" spans="1:17">
      <c r="A34" s="25"/>
      <c r="B34" s="45"/>
      <c r="C34" s="27"/>
      <c r="D34" s="65"/>
      <c r="E34" s="27"/>
      <c r="F34" s="28"/>
      <c r="G34" s="46"/>
      <c r="H34" s="54"/>
      <c r="I34" s="30"/>
      <c r="J34" s="27"/>
      <c r="K34" s="31"/>
      <c r="L34" s="27"/>
      <c r="M34" s="27"/>
      <c r="N34" s="27"/>
      <c r="O34" s="27"/>
      <c r="P34" s="32"/>
      <c r="Q34" s="33"/>
    </row>
    <row r="35" spans="1:17">
      <c r="A35" s="25"/>
      <c r="B35" s="45"/>
      <c r="C35" s="33"/>
      <c r="D35" s="65"/>
      <c r="E35" s="27"/>
      <c r="F35" s="28"/>
      <c r="G35" s="29"/>
      <c r="H35" s="54"/>
      <c r="I35" s="36"/>
      <c r="J35" s="33"/>
      <c r="K35" s="31"/>
      <c r="L35" s="27"/>
      <c r="M35" s="27"/>
      <c r="N35" s="27"/>
      <c r="O35" s="27"/>
      <c r="P35" s="32"/>
      <c r="Q35" s="33"/>
    </row>
    <row r="36" spans="1:17">
      <c r="A36" s="25"/>
      <c r="B36" s="45"/>
      <c r="C36" s="33"/>
      <c r="D36" s="65"/>
      <c r="E36" s="27"/>
      <c r="F36" s="28"/>
      <c r="G36" s="46"/>
      <c r="H36" s="54"/>
      <c r="I36" s="36"/>
      <c r="J36" s="33"/>
      <c r="K36" s="31"/>
      <c r="L36" s="27"/>
      <c r="M36" s="27"/>
      <c r="N36" s="27"/>
      <c r="O36" s="27"/>
      <c r="P36" s="32"/>
      <c r="Q36" s="33"/>
    </row>
    <row r="37" spans="1:17">
      <c r="A37" s="25"/>
      <c r="B37" s="45"/>
      <c r="C37" s="33"/>
      <c r="D37" s="65"/>
      <c r="E37" s="27"/>
      <c r="F37" s="28"/>
      <c r="G37" s="46"/>
      <c r="H37" s="54"/>
      <c r="I37" s="36"/>
      <c r="J37" s="33"/>
      <c r="K37" s="31"/>
      <c r="L37" s="27"/>
      <c r="M37" s="27"/>
      <c r="N37" s="27"/>
      <c r="O37" s="27"/>
      <c r="P37" s="32"/>
      <c r="Q37" s="33"/>
    </row>
    <row r="38" spans="1:17">
      <c r="A38" s="25"/>
      <c r="B38" s="45"/>
      <c r="C38" s="43"/>
      <c r="D38" s="65"/>
      <c r="E38" s="27"/>
      <c r="F38" s="28"/>
      <c r="G38" s="29"/>
      <c r="H38" s="54"/>
      <c r="I38" s="56"/>
      <c r="J38" s="43"/>
      <c r="K38" s="31"/>
      <c r="L38" s="37"/>
      <c r="M38" s="37"/>
      <c r="N38" s="27"/>
      <c r="O38" s="27"/>
      <c r="P38" s="32"/>
      <c r="Q38" s="33"/>
    </row>
    <row r="39" spans="1:17">
      <c r="A39" s="25"/>
      <c r="B39" s="45"/>
      <c r="C39" s="33"/>
      <c r="D39" s="65"/>
      <c r="E39" s="27"/>
      <c r="F39" s="28"/>
      <c r="G39" s="29"/>
      <c r="H39" s="54"/>
      <c r="I39" s="36"/>
      <c r="J39" s="33"/>
      <c r="K39" s="31"/>
      <c r="L39" s="27"/>
      <c r="M39" s="27"/>
      <c r="N39" s="27"/>
      <c r="O39" s="27"/>
      <c r="P39" s="32"/>
      <c r="Q39" s="33"/>
    </row>
    <row r="40" spans="1:17">
      <c r="A40" s="25"/>
      <c r="B40" s="45"/>
      <c r="C40" s="27"/>
      <c r="D40" s="65"/>
      <c r="E40" s="27"/>
      <c r="F40" s="28"/>
      <c r="G40" s="46"/>
      <c r="H40" s="54"/>
      <c r="I40" s="30"/>
      <c r="J40" s="27"/>
      <c r="K40" s="31"/>
      <c r="L40" s="27"/>
      <c r="M40" s="27"/>
      <c r="N40" s="27"/>
      <c r="O40" s="27"/>
      <c r="P40" s="32"/>
      <c r="Q40" s="33"/>
    </row>
    <row r="41" spans="1:17">
      <c r="A41" s="25"/>
      <c r="B41" s="45"/>
      <c r="C41" s="37"/>
      <c r="D41" s="67"/>
      <c r="E41" s="27"/>
      <c r="F41" s="28"/>
      <c r="G41" s="46"/>
      <c r="H41" s="54"/>
      <c r="I41" s="38"/>
      <c r="J41" s="27"/>
      <c r="K41" s="31"/>
      <c r="L41" s="37"/>
      <c r="M41" s="37"/>
      <c r="N41" s="27"/>
      <c r="O41" s="27"/>
      <c r="P41" s="32"/>
      <c r="Q41" s="33"/>
    </row>
    <row r="42" spans="1:17" ht="15.75">
      <c r="A42" s="47"/>
      <c r="B42" s="48"/>
      <c r="C42" s="40"/>
      <c r="D42" s="66"/>
      <c r="E42" s="40"/>
      <c r="F42" s="28"/>
      <c r="G42" s="46"/>
      <c r="H42" s="29"/>
      <c r="I42" s="57"/>
      <c r="J42" s="40"/>
      <c r="K42" s="50"/>
      <c r="L42" s="40"/>
      <c r="M42" s="40"/>
      <c r="N42" s="40"/>
      <c r="O42" s="40"/>
      <c r="P42" s="51"/>
      <c r="Q42" s="28"/>
    </row>
    <row r="43" spans="1:17">
      <c r="A43" s="25"/>
      <c r="B43" s="45"/>
      <c r="C43" s="37"/>
      <c r="D43" s="67"/>
      <c r="E43" s="27"/>
      <c r="F43" s="28"/>
      <c r="G43" s="36"/>
      <c r="H43" s="54"/>
      <c r="I43" s="39"/>
      <c r="J43" s="37"/>
      <c r="K43" s="31"/>
      <c r="L43" s="37"/>
      <c r="M43" s="37"/>
      <c r="N43" s="27"/>
      <c r="O43" s="27"/>
      <c r="P43" s="32"/>
      <c r="Q43" s="33"/>
    </row>
    <row r="44" spans="1:17">
      <c r="A44" s="25"/>
      <c r="B44" s="45"/>
      <c r="C44" s="27"/>
      <c r="D44" s="65"/>
      <c r="E44" s="27"/>
      <c r="F44" s="28"/>
      <c r="G44" s="29"/>
      <c r="H44" s="54"/>
      <c r="I44" s="30"/>
      <c r="J44" s="27"/>
      <c r="K44" s="31"/>
      <c r="L44" s="27"/>
      <c r="M44" s="27"/>
      <c r="N44" s="27"/>
      <c r="O44" s="27"/>
      <c r="P44" s="32"/>
      <c r="Q44" s="33"/>
    </row>
    <row r="45" spans="1:17">
      <c r="A45" s="25"/>
      <c r="B45" s="45"/>
      <c r="C45" s="27"/>
      <c r="D45" s="65"/>
      <c r="E45" s="27"/>
      <c r="F45" s="28"/>
      <c r="G45" s="29"/>
      <c r="H45" s="54"/>
      <c r="I45" s="30"/>
      <c r="J45" s="27"/>
      <c r="K45" s="31"/>
      <c r="L45" s="27"/>
      <c r="M45" s="27"/>
      <c r="N45" s="27"/>
      <c r="O45" s="27"/>
      <c r="P45" s="32"/>
      <c r="Q45" s="33"/>
    </row>
    <row r="46" spans="1:17">
      <c r="A46" s="25"/>
      <c r="B46" s="45"/>
      <c r="C46" s="27"/>
      <c r="D46" s="65"/>
      <c r="E46" s="27"/>
      <c r="F46" s="28"/>
      <c r="G46" s="46"/>
      <c r="H46" s="54"/>
      <c r="I46" s="30"/>
      <c r="J46" s="27"/>
      <c r="K46" s="31"/>
      <c r="L46" s="27"/>
      <c r="M46" s="27"/>
      <c r="N46" s="27"/>
      <c r="O46" s="27"/>
      <c r="P46" s="32"/>
      <c r="Q46" s="33"/>
    </row>
    <row r="47" spans="1:17">
      <c r="A47" s="25"/>
      <c r="B47" s="45"/>
      <c r="C47" s="27"/>
      <c r="D47" s="65"/>
      <c r="E47" s="27"/>
      <c r="F47" s="28"/>
      <c r="G47" s="46"/>
      <c r="H47" s="54"/>
      <c r="I47" s="30"/>
      <c r="J47" s="27"/>
      <c r="K47" s="31"/>
      <c r="L47" s="27"/>
      <c r="M47" s="27"/>
      <c r="N47" s="27"/>
      <c r="O47" s="27"/>
      <c r="P47" s="32"/>
      <c r="Q47" s="33"/>
    </row>
    <row r="48" spans="1:17">
      <c r="A48" s="25"/>
      <c r="B48" s="45"/>
      <c r="C48" s="27"/>
      <c r="D48" s="65"/>
      <c r="E48" s="27"/>
      <c r="F48" s="28"/>
      <c r="G48" s="29"/>
      <c r="H48" s="54"/>
      <c r="I48" s="30"/>
      <c r="J48" s="27"/>
      <c r="K48" s="31"/>
      <c r="L48" s="27"/>
      <c r="M48" s="27"/>
      <c r="N48" s="27"/>
      <c r="O48" s="27"/>
      <c r="P48" s="32"/>
      <c r="Q48" s="33"/>
    </row>
    <row r="49" spans="1:17">
      <c r="A49" s="25"/>
      <c r="B49" s="45"/>
      <c r="C49" s="43"/>
      <c r="D49" s="65"/>
      <c r="E49" s="27"/>
      <c r="F49" s="28"/>
      <c r="G49" s="46"/>
      <c r="H49" s="54"/>
      <c r="I49" s="56"/>
      <c r="J49" s="43"/>
      <c r="K49" s="31"/>
      <c r="L49" s="37"/>
      <c r="M49" s="37"/>
      <c r="N49" s="27"/>
      <c r="O49" s="27"/>
      <c r="P49" s="32"/>
      <c r="Q49" s="33"/>
    </row>
    <row r="50" spans="1:17">
      <c r="A50" s="25"/>
      <c r="B50" s="45"/>
      <c r="C50" s="27"/>
      <c r="D50" s="65"/>
      <c r="E50" s="27"/>
      <c r="F50" s="33"/>
      <c r="G50" s="36"/>
      <c r="H50" s="29"/>
      <c r="I50" s="58"/>
      <c r="J50" s="43"/>
      <c r="K50" s="31"/>
      <c r="L50" s="27"/>
      <c r="M50" s="27"/>
      <c r="N50" s="27"/>
      <c r="O50" s="27"/>
      <c r="P50" s="32"/>
      <c r="Q50" s="33"/>
    </row>
    <row r="51" spans="1:17" ht="24.75">
      <c r="A51" s="25"/>
      <c r="B51" s="45"/>
      <c r="C51" s="27"/>
      <c r="D51" s="65"/>
      <c r="E51" s="27"/>
      <c r="F51" s="33"/>
      <c r="G51" s="53"/>
      <c r="H51" s="29"/>
      <c r="I51" s="30"/>
      <c r="J51" s="59"/>
      <c r="K51" s="31"/>
      <c r="L51" s="27"/>
      <c r="M51" s="60"/>
      <c r="N51" s="27"/>
      <c r="O51" s="27"/>
      <c r="P51" s="32"/>
      <c r="Q51" s="33"/>
    </row>
  </sheetData>
  <autoFilter ref="A1:Q1" xr:uid="{A1FCC8DF-FE5A-47D3-A322-BCCD7B82587C}"/>
  <dataValidations count="2">
    <dataValidation type="list" allowBlank="1" showErrorMessage="1" sqref="A2:A11 A13:A17 A19:A22 A24:A50" xr:uid="{9D5A1DD7-F9EA-4E7B-936E-731F48AEB2EA}">
      <formula1>"PREVISÃO ENVIADA,CONFIRMADO,CANCELAR,AGUARDANDO,NIP,BACKLOG,DISP. CONFIRMADA,REMARCAR,FALTOU"</formula1>
    </dataValidation>
    <dataValidation type="list" allowBlank="1" showErrorMessage="1" sqref="A12 A18 A23 A51" xr:uid="{2E0B36B7-A847-4037-A29D-297089164E67}">
      <formula1>"PREVISÃO ENVIADA,CONFIRMADO,CANCELAR,AGUARDANDO,NIP,BACKLOG,DISP. CONFIRMADA,REMARCADO,FALTOU"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8209-9808-4AF1-93CF-13B65EF9DE33}">
  <sheetPr codeName="Planilha3"/>
  <dimension ref="A1:B9"/>
  <sheetViews>
    <sheetView workbookViewId="0">
      <selection activeCell="M10" sqref="M10"/>
    </sheetView>
  </sheetViews>
  <sheetFormatPr defaultRowHeight="15"/>
  <sheetData>
    <row r="1" spans="1:2">
      <c r="A1" t="s">
        <v>17</v>
      </c>
      <c r="B1" t="s">
        <v>18</v>
      </c>
    </row>
    <row r="2" spans="1:2">
      <c r="A2" s="17">
        <v>0.29166666666666669</v>
      </c>
      <c r="B2" s="17">
        <v>0.375</v>
      </c>
    </row>
    <row r="3" spans="1:2">
      <c r="A3" s="17">
        <v>0.33333333333333331</v>
      </c>
      <c r="B3" s="17">
        <v>0.375</v>
      </c>
    </row>
    <row r="4" spans="1:2">
      <c r="A4" s="17">
        <v>0.54166666666666663</v>
      </c>
      <c r="B4" s="17">
        <v>0.66666666666666663</v>
      </c>
    </row>
    <row r="5" spans="1:2">
      <c r="A5" s="17">
        <v>0.58333333333333337</v>
      </c>
      <c r="B5" s="17">
        <v>0.70833333333333337</v>
      </c>
    </row>
    <row r="6" spans="1:2">
      <c r="A6" s="17"/>
      <c r="B6" s="17"/>
    </row>
    <row r="7" spans="1:2">
      <c r="A7" s="17"/>
      <c r="B7" s="17"/>
    </row>
    <row r="8" spans="1:2">
      <c r="A8" s="17"/>
      <c r="B8" s="17"/>
    </row>
    <row r="9" spans="1:2">
      <c r="A9" s="17"/>
      <c r="B9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MAIN</vt:lpstr>
      <vt:lpstr>BASE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Elder Dias Mendes</dc:creator>
  <cp:lastModifiedBy>Elder Dias Mendes</cp:lastModifiedBy>
  <dcterms:created xsi:type="dcterms:W3CDTF">2026-01-22T01:24:58Z</dcterms:created>
  <dcterms:modified xsi:type="dcterms:W3CDTF">2026-01-22T13:06:51Z</dcterms:modified>
</cp:coreProperties>
</file>